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bias\Desktop\PROYECTOS\2026\EDIFICIO ARZAMENDIA\3- CARPETA TECNICA\1- ANTEPROYECTO\"/>
    </mc:Choice>
  </mc:AlternateContent>
  <xr:revisionPtr revIDLastSave="0" documentId="13_ncr:1_{86FFD4AB-E9D6-4EC0-9A9D-0E02A17579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illa Total" sheetId="3" r:id="rId1"/>
  </sheets>
  <definedNames>
    <definedName name="_xlnm._FilterDatabase" localSheetId="0" hidden="1">'Grilla Total'!$A$6:$D$586</definedName>
    <definedName name="_xlnm.Print_Titles" localSheetId="0">'Grilla Total'!$6:$6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1" i="3" l="1"/>
  <c r="D81" i="3"/>
  <c r="D38" i="3"/>
  <c r="D82" i="3"/>
  <c r="D80" i="3" l="1"/>
  <c r="D79" i="3"/>
  <c r="D78" i="3" l="1"/>
  <c r="D83" i="3" l="1"/>
  <c r="D85" i="3"/>
  <c r="D86" i="3"/>
  <c r="D84" i="3" l="1"/>
  <c r="D107" i="3" l="1"/>
  <c r="D106" i="3"/>
  <c r="D49" i="3" l="1"/>
  <c r="D40" i="3" l="1"/>
  <c r="D41" i="3" s="1"/>
  <c r="D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Silvana</author>
    <author>Fernando</author>
  </authors>
  <commentList>
    <comment ref="D8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Fernando:
(Valor por una sola barra)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6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Fernando:</t>
        </r>
        <r>
          <rPr>
            <sz val="9"/>
            <color indexed="81"/>
            <rFont val="Tahoma"/>
            <family val="2"/>
          </rPr>
          <t xml:space="preserve">
(VALOR POR UNA SOLA BARRA)</t>
        </r>
      </text>
    </comment>
  </commentList>
</comments>
</file>

<file path=xl/sharedStrings.xml><?xml version="1.0" encoding="utf-8"?>
<sst xmlns="http://schemas.openxmlformats.org/spreadsheetml/2006/main" count="1386" uniqueCount="864">
  <si>
    <t>6.1</t>
  </si>
  <si>
    <t>6.2</t>
  </si>
  <si>
    <t>6.3</t>
  </si>
  <si>
    <t>6.4</t>
  </si>
  <si>
    <t>17.1</t>
  </si>
  <si>
    <t>17.2</t>
  </si>
  <si>
    <t>17.3</t>
  </si>
  <si>
    <t>17.4</t>
  </si>
  <si>
    <t>17.5</t>
  </si>
  <si>
    <t>17.6</t>
  </si>
  <si>
    <t>17.7</t>
  </si>
  <si>
    <t>16.1</t>
  </si>
  <si>
    <t>16.2</t>
  </si>
  <si>
    <t>8.1</t>
  </si>
  <si>
    <t>8.2</t>
  </si>
  <si>
    <t>8.3</t>
  </si>
  <si>
    <t>8.4</t>
  </si>
  <si>
    <t>8.5</t>
  </si>
  <si>
    <t>8.6</t>
  </si>
  <si>
    <t>6.5</t>
  </si>
  <si>
    <t>14.1</t>
  </si>
  <si>
    <t>14.2</t>
  </si>
  <si>
    <t>14.3</t>
  </si>
  <si>
    <t>14.4</t>
  </si>
  <si>
    <t>14.5</t>
  </si>
  <si>
    <t>15.1</t>
  </si>
  <si>
    <t>15.2</t>
  </si>
  <si>
    <t>15.3</t>
  </si>
  <si>
    <t>17.8</t>
  </si>
  <si>
    <t>ITEM</t>
  </si>
  <si>
    <t>DESIGNACION</t>
  </si>
  <si>
    <t>Unidad</t>
  </si>
  <si>
    <t>Cantidad</t>
  </si>
  <si>
    <t>EXCAVACION Y MOVIMIENTO DE SUELOS</t>
  </si>
  <si>
    <t>CLIENTE:</t>
  </si>
  <si>
    <t>OBRA:</t>
  </si>
  <si>
    <t>PRESUPUESTO:</t>
  </si>
  <si>
    <t>Limpieza de terreno</t>
  </si>
  <si>
    <t>m2</t>
  </si>
  <si>
    <t>gl</t>
  </si>
  <si>
    <t>ml</t>
  </si>
  <si>
    <t>m3</t>
  </si>
  <si>
    <t>un</t>
  </si>
  <si>
    <t>ESTRUCTURA RESISTENTE</t>
  </si>
  <si>
    <t>MAMPOSTERIAS Y TABIQUES</t>
  </si>
  <si>
    <t xml:space="preserve">m2        </t>
  </si>
  <si>
    <t>AISLACIONES</t>
  </si>
  <si>
    <t>Capa aisladora horizontal</t>
  </si>
  <si>
    <t>Capa aisladora vertical.</t>
  </si>
  <si>
    <t>REVOQUES</t>
  </si>
  <si>
    <t>CONTRAPISOS</t>
  </si>
  <si>
    <t>PINTURAS</t>
  </si>
  <si>
    <t>Latex Interior s/rev seco</t>
  </si>
  <si>
    <t>Ladrillos de Vidrio para Bocas de Ataque en Losa Entrepiso Cocheras</t>
  </si>
  <si>
    <t>Grilla de Computo</t>
  </si>
  <si>
    <t>CARPETAS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</si>
  <si>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</si>
  <si>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</si>
  <si>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</si>
  <si>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</si>
  <si>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</si>
  <si>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</si>
  <si>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</si>
  <si>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</si>
  <si>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</si>
  <si>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</si>
  <si>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3.1</t>
  </si>
  <si>
    <t>3.2</t>
  </si>
  <si>
    <t>3.3</t>
  </si>
  <si>
    <t>3.4</t>
  </si>
  <si>
    <t>3.5</t>
  </si>
  <si>
    <t>3.6</t>
  </si>
  <si>
    <t>3.7</t>
  </si>
  <si>
    <t>3.8</t>
  </si>
  <si>
    <t>7.1</t>
  </si>
  <si>
    <t>7.2</t>
  </si>
  <si>
    <t>7.3</t>
  </si>
  <si>
    <t>7.4</t>
  </si>
  <si>
    <t>7.5</t>
  </si>
  <si>
    <t>9.1</t>
  </si>
  <si>
    <t>9.2</t>
  </si>
  <si>
    <t>9.3</t>
  </si>
  <si>
    <t>10.1</t>
  </si>
  <si>
    <t>10.2</t>
  </si>
  <si>
    <t>10.3</t>
  </si>
  <si>
    <t>10.4</t>
  </si>
  <si>
    <t>10.5</t>
  </si>
  <si>
    <t>11.1</t>
  </si>
  <si>
    <t>11.2</t>
  </si>
  <si>
    <t>11.3</t>
  </si>
  <si>
    <t>11.4</t>
  </si>
  <si>
    <t>11.5</t>
  </si>
  <si>
    <t>11.6</t>
  </si>
  <si>
    <t>11.7</t>
  </si>
  <si>
    <t>CIELORRASOS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</si>
  <si>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</si>
  <si>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</si>
  <si>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</si>
  <si>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</si>
  <si>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</si>
  <si>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</si>
  <si>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</si>
  <si>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</si>
  <si>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</si>
  <si>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13.1</t>
  </si>
  <si>
    <t>13.2</t>
  </si>
  <si>
    <t>13.3</t>
  </si>
  <si>
    <t>14.6</t>
  </si>
  <si>
    <t>14.7</t>
  </si>
  <si>
    <t>14.8</t>
  </si>
  <si>
    <t>Rejillas PPA 15x15</t>
  </si>
  <si>
    <t>Rejillas PPT 15x15</t>
  </si>
  <si>
    <t>Rejillas Desagues Balcones 12x12</t>
  </si>
  <si>
    <t>MESADAS</t>
  </si>
  <si>
    <t>18.1</t>
  </si>
  <si>
    <t>18.2</t>
  </si>
  <si>
    <t>18.3</t>
  </si>
  <si>
    <t>18.4</t>
  </si>
  <si>
    <t>18.5</t>
  </si>
  <si>
    <t>18.6</t>
  </si>
  <si>
    <t>19.1</t>
  </si>
  <si>
    <t>19.2</t>
  </si>
  <si>
    <t>19.3</t>
  </si>
  <si>
    <t>20.1</t>
  </si>
  <si>
    <t>20.2</t>
  </si>
  <si>
    <t>20.3</t>
  </si>
  <si>
    <t>20.4</t>
  </si>
  <si>
    <t>24.1</t>
  </si>
  <si>
    <t>24.2</t>
  </si>
  <si>
    <t>23.1</t>
  </si>
  <si>
    <t>22.1</t>
  </si>
  <si>
    <t>Anafe 4 hornallas</t>
  </si>
  <si>
    <t>25.1</t>
  </si>
  <si>
    <t>25.2</t>
  </si>
  <si>
    <t>23.2</t>
  </si>
  <si>
    <t>11.8</t>
  </si>
  <si>
    <t>Chapa Baliza</t>
  </si>
  <si>
    <t>Matafuego ABC DE 5KG</t>
  </si>
  <si>
    <t>Matafuego BC DE 5KG</t>
  </si>
  <si>
    <t xml:space="preserve">Rociadores automáticos </t>
  </si>
  <si>
    <t>Detectores Humo</t>
  </si>
  <si>
    <t>11.9</t>
  </si>
  <si>
    <t>GRAFICA Y CARTELERIA</t>
  </si>
  <si>
    <t>9.4</t>
  </si>
  <si>
    <t>18.7</t>
  </si>
  <si>
    <t>18.8</t>
  </si>
  <si>
    <t>23.3</t>
  </si>
  <si>
    <t>23.4</t>
  </si>
  <si>
    <t>23.5</t>
  </si>
  <si>
    <t>Provision y Colocacion Grupo Electrogeno y Tablero transferencia+ ventilacion escape</t>
  </si>
  <si>
    <t>Limpieza Final Dptos y Palieres</t>
  </si>
  <si>
    <t xml:space="preserve">Provision e Instalacion Rampa Movil </t>
  </si>
  <si>
    <t>Replanteo</t>
  </si>
  <si>
    <t>Retiro de aberturas</t>
  </si>
  <si>
    <t>Retiro de artefactos</t>
  </si>
  <si>
    <t>DEMOLICIONES</t>
  </si>
  <si>
    <t>Cañeria Distribucion sobre Cielorrasos</t>
  </si>
  <si>
    <t>INSTALACION SANITARIA</t>
  </si>
  <si>
    <t>Grafica Cerco y Cartel de obra</t>
  </si>
  <si>
    <t>Adecuacion de Vereda</t>
  </si>
  <si>
    <t>Obrador (+Elementos HyS)</t>
  </si>
  <si>
    <t>Extraccion de Arboles</t>
  </si>
  <si>
    <t>TRABAJOS PRELIMINARES</t>
  </si>
  <si>
    <t>Desmonte Cielorraso</t>
  </si>
  <si>
    <t>Demolición Manual Estruct de HºAº</t>
  </si>
  <si>
    <t>Demolición Manual Mamposterias</t>
  </si>
  <si>
    <t>Demolición Manual Cubierta de Chapa</t>
  </si>
  <si>
    <t>Demolición Manual Pisos y Carpetas</t>
  </si>
  <si>
    <t>Demolición Manual Contrapisos Completos</t>
  </si>
  <si>
    <t>Demolición Maquina</t>
  </si>
  <si>
    <t>Retiro de Escombros</t>
  </si>
  <si>
    <t>Cam</t>
  </si>
  <si>
    <t>SEGURIDAD MANTENIMIENTO Y LOGISTICA INTERNA</t>
  </si>
  <si>
    <t>3.9</t>
  </si>
  <si>
    <t>3.10</t>
  </si>
  <si>
    <t>3.11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</si>
  <si>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</si>
  <si>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</si>
  <si>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</si>
  <si>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</si>
  <si>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</si>
  <si>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</si>
  <si>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</si>
  <si>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</si>
  <si>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</si>
  <si>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ELECTROMECANICA</t>
  </si>
  <si>
    <t>VIDRIOS</t>
  </si>
  <si>
    <t>AMOBLAMIENTOS Y EQUIPAMIENTOS</t>
  </si>
  <si>
    <t>INSTALACIONES AIRE ACONDICIONADO</t>
  </si>
  <si>
    <t>Membrana líquida (Baños, Balcones, lav.,Terrazas y Piscina)</t>
  </si>
  <si>
    <t>Sika Monotop 107 - 2 manos (Piscina y TR)</t>
  </si>
  <si>
    <t xml:space="preserve">Revoque Ext 3 en 1 </t>
  </si>
  <si>
    <t xml:space="preserve">Mochetas Ext 3en 1 (0,15) </t>
  </si>
  <si>
    <t xml:space="preserve">Mochetas Ext 3en 1 (0,20) </t>
  </si>
  <si>
    <t>Revoque Seco Interior</t>
  </si>
  <si>
    <t xml:space="preserve">Mochetas Rev Seco Int. (0,10) </t>
  </si>
  <si>
    <t xml:space="preserve">Mochetas Rev Seco Int. (0,15) </t>
  </si>
  <si>
    <t xml:space="preserve">Mochetas Rev Seco Int. (0,20) </t>
  </si>
  <si>
    <t>Inst Equipos Interior y Exterior</t>
  </si>
  <si>
    <t>Provision Equipos</t>
  </si>
  <si>
    <t>Emprolijado de Hº bajo Losa (Escalera y Cocheras)</t>
  </si>
  <si>
    <t>Placa de Roca de yeso comun Junta tomada suspendido</t>
  </si>
  <si>
    <t xml:space="preserve">Cajones Placa de Roca de yeso comun Junta tomada </t>
  </si>
  <si>
    <t xml:space="preserve">Gargantas Placa de Roca de yeso comun Junta tomada </t>
  </si>
  <si>
    <t>Cajones Placa Superboard</t>
  </si>
  <si>
    <t>Gargantas Placa Superboard</t>
  </si>
  <si>
    <t>PISOS</t>
  </si>
  <si>
    <t>Baldosa Podotáctil Alerta 40x40 (Botones)</t>
  </si>
  <si>
    <t>Premoldeado Escalera</t>
  </si>
  <si>
    <t>Deck PVC en tablas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</si>
  <si>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</si>
  <si>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</si>
  <si>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</si>
  <si>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</si>
  <si>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</si>
  <si>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</si>
  <si>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</si>
  <si>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</si>
  <si>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</si>
  <si>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</si>
  <si>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</si>
  <si>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</si>
  <si>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</si>
  <si>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</si>
  <si>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Tapa Boca de Acceso 20x20</t>
  </si>
  <si>
    <t>Rejilla Embudos H. 30x30</t>
  </si>
  <si>
    <t>Rejilla Embudos V. 30x30</t>
  </si>
  <si>
    <t>Zocalo Cemento Fratazado (Contrahuellas)</t>
  </si>
  <si>
    <t>Polietileno Expandido de alta Resistencia (EPS)</t>
  </si>
  <si>
    <t>ZOCALOS</t>
  </si>
  <si>
    <t>REVESTIMIENTOS</t>
  </si>
  <si>
    <t>18.9</t>
  </si>
  <si>
    <t>18.10</t>
  </si>
  <si>
    <t>18.11</t>
  </si>
  <si>
    <t>Perfil Aluminio Protector paso (Escaleras Int)</t>
  </si>
  <si>
    <t>Perfil Aluminio Media caña</t>
  </si>
  <si>
    <t>Perfil Aluminio Recto</t>
  </si>
  <si>
    <t>Perfil Aluminio Buña</t>
  </si>
  <si>
    <t>CARPINTERIA ALUMINIO</t>
  </si>
  <si>
    <t>Barandas Aluminio (BA)</t>
  </si>
  <si>
    <t>Rejas y Rejillas (RA)</t>
  </si>
  <si>
    <t>CARPINTERIA METALICA</t>
  </si>
  <si>
    <t>Puertas y Portones (PH)</t>
  </si>
  <si>
    <t>Rejas Fijas y Moviles (RH)</t>
  </si>
  <si>
    <t>CARPINTERIA MIXTA</t>
  </si>
  <si>
    <t>Puertas Corta Fuego (PI)</t>
  </si>
  <si>
    <t>Ventanas y Ventiluces (VA)</t>
  </si>
  <si>
    <t>Puertas Aluminio (PA)</t>
  </si>
  <si>
    <t>Puerta Ventanas (PVA)</t>
  </si>
  <si>
    <t>Paño Fijo (PFA)</t>
  </si>
  <si>
    <t>Frente Vidriado (FVA)</t>
  </si>
  <si>
    <t>Barandas Metalicas (BH)</t>
  </si>
  <si>
    <t>Puertas Interiores (PM)</t>
  </si>
  <si>
    <t>CARPINTERIAS</t>
  </si>
  <si>
    <t>19.1.1</t>
  </si>
  <si>
    <t>19.1.2</t>
  </si>
  <si>
    <t>19.1.3</t>
  </si>
  <si>
    <t>19.1.4</t>
  </si>
  <si>
    <t>19.1.5</t>
  </si>
  <si>
    <t>19.1.6</t>
  </si>
  <si>
    <t>19.1.7</t>
  </si>
  <si>
    <t>19.3.1</t>
  </si>
  <si>
    <t>19.3.2</t>
  </si>
  <si>
    <t>19.2.1</t>
  </si>
  <si>
    <t>19.2.2</t>
  </si>
  <si>
    <t>19.2.3</t>
  </si>
  <si>
    <t>HERRERIAS</t>
  </si>
  <si>
    <t>Escalera Marinera (H)</t>
  </si>
  <si>
    <t>Basurero</t>
  </si>
  <si>
    <t>Tapa Camaras</t>
  </si>
  <si>
    <t>19.2.4</t>
  </si>
  <si>
    <t>Puertas Trampa (PTH)</t>
  </si>
  <si>
    <t>Parrilla</t>
  </si>
  <si>
    <t>Plataforma y Soportes AA</t>
  </si>
  <si>
    <t>Baulera</t>
  </si>
  <si>
    <t>20.5</t>
  </si>
  <si>
    <t>20.6</t>
  </si>
  <si>
    <t>20.7</t>
  </si>
  <si>
    <t>20.8</t>
  </si>
  <si>
    <t>20.9</t>
  </si>
  <si>
    <t>20.10</t>
  </si>
  <si>
    <t>20.11</t>
  </si>
  <si>
    <t>Cableado Corrientes Debiles</t>
  </si>
  <si>
    <t>Cañeria Distribucion Embutida Muros</t>
  </si>
  <si>
    <t>Portero Electrico, Cerradura e Intercomunicadores</t>
  </si>
  <si>
    <t>CCTV - Camaras y DVR</t>
  </si>
  <si>
    <t xml:space="preserve">Central Alarma Incendio </t>
  </si>
  <si>
    <t>INSTALACION DE AGUA FRÍA Y CALIENTE</t>
  </si>
  <si>
    <t>SERVICIO CONTRA INCENDIO</t>
  </si>
  <si>
    <t>PISCINA</t>
  </si>
  <si>
    <t>Construccion de cámara de inspección</t>
  </si>
  <si>
    <t>Construccion decantador de trapos</t>
  </si>
  <si>
    <t>Conexión a cámara de registro en vereda</t>
  </si>
  <si>
    <t>10.1.1</t>
  </si>
  <si>
    <t>10.1.2</t>
  </si>
  <si>
    <t>10.1.3</t>
  </si>
  <si>
    <t>10.1.4</t>
  </si>
  <si>
    <t xml:space="preserve">Montantes cloacales y ventilacion </t>
  </si>
  <si>
    <t>Nivel</t>
  </si>
  <si>
    <t>DESAGÜES CLOACALES Y VENTILACIONES</t>
  </si>
  <si>
    <t>Cañería primaria y secundaria (baños, cocinas y lavaderos)</t>
  </si>
  <si>
    <t>Cañeria desagüe A.A (equipo interno y externo)</t>
  </si>
  <si>
    <t>10.1.5</t>
  </si>
  <si>
    <t>10.1.6</t>
  </si>
  <si>
    <t>Construccion Cámara de Achique, ventilación y bombeo hasta PPT</t>
  </si>
  <si>
    <t>Cañeria de desagues pluviales bajo tierra</t>
  </si>
  <si>
    <t>Bocas de Desagüe bajo tierra</t>
  </si>
  <si>
    <t>Cañeria de desagues pluviales suspendida</t>
  </si>
  <si>
    <t>DESAGÜES PLUVIALES</t>
  </si>
  <si>
    <t>10.2.1</t>
  </si>
  <si>
    <t>10.2.2</t>
  </si>
  <si>
    <t>10.2.3</t>
  </si>
  <si>
    <t>10.2.4</t>
  </si>
  <si>
    <t>10.2.5</t>
  </si>
  <si>
    <t>Cañeria de bajadas de canaletas exteriores (FIS y FIT)</t>
  </si>
  <si>
    <t>10.2.6</t>
  </si>
  <si>
    <t>Colector Tanque cisterna y colocacion electrobombas</t>
  </si>
  <si>
    <t>10.3.1</t>
  </si>
  <si>
    <t>10.3.2</t>
  </si>
  <si>
    <t>10.3.3</t>
  </si>
  <si>
    <t>10.3.4</t>
  </si>
  <si>
    <t xml:space="preserve">Cañeria montante Suministro </t>
  </si>
  <si>
    <t>Instalcion sistema de reductor de presion</t>
  </si>
  <si>
    <t>10.3.5</t>
  </si>
  <si>
    <t>10.3.6</t>
  </si>
  <si>
    <t>10.3.7</t>
  </si>
  <si>
    <t>Colector Tanque reserva y ruptor de vacio.</t>
  </si>
  <si>
    <t xml:space="preserve">Instalacion de cañerías gua fría y caliente </t>
  </si>
  <si>
    <t>10.3.8</t>
  </si>
  <si>
    <t>Conexión de desagües en mesdas cocina y piletas de lavar</t>
  </si>
  <si>
    <t>10.1.7</t>
  </si>
  <si>
    <t>10.1.8</t>
  </si>
  <si>
    <t xml:space="preserve">Boca de incendio </t>
  </si>
  <si>
    <t>Cajas para válvulas y mangueras</t>
  </si>
  <si>
    <t>Cañeria montante de incendio desde bomba presurizadora</t>
  </si>
  <si>
    <t>10.4.1</t>
  </si>
  <si>
    <t>10.4.2</t>
  </si>
  <si>
    <t>10.4.3</t>
  </si>
  <si>
    <t>Instalación de estación presurizadora (Centrifugas y Jockey)</t>
  </si>
  <si>
    <t>Bomba sumergida y flotante automatico</t>
  </si>
  <si>
    <t>10.5.1</t>
  </si>
  <si>
    <t xml:space="preserve">Cañeria limpieza y desague </t>
  </si>
  <si>
    <t>10.5.2</t>
  </si>
  <si>
    <t>Mesada Granito</t>
  </si>
  <si>
    <t>Zócalo Granito</t>
  </si>
  <si>
    <t>Mesada Tipo Silestone</t>
  </si>
  <si>
    <t>Zócalo Tipo Silestone</t>
  </si>
  <si>
    <t>Mesada Madera</t>
  </si>
  <si>
    <t>Zócalo Madera</t>
  </si>
  <si>
    <t>22.1.1</t>
  </si>
  <si>
    <t>22.1.2</t>
  </si>
  <si>
    <t>22.1.3</t>
  </si>
  <si>
    <t>22.1.4</t>
  </si>
  <si>
    <t>22.1.5</t>
  </si>
  <si>
    <t>22.1.6</t>
  </si>
  <si>
    <t>22.3</t>
  </si>
  <si>
    <t>22.2.1</t>
  </si>
  <si>
    <t>22.2.2</t>
  </si>
  <si>
    <t>22.4</t>
  </si>
  <si>
    <t>22.3.1</t>
  </si>
  <si>
    <t>22.3.2</t>
  </si>
  <si>
    <t>22.3.3</t>
  </si>
  <si>
    <t>22.3.4</t>
  </si>
  <si>
    <t>Horno de Empotrar</t>
  </si>
  <si>
    <t>Anafe 2 hornallas</t>
  </si>
  <si>
    <t>AMOBLAMIENTO</t>
  </si>
  <si>
    <t>Muebles Espacios Comunes</t>
  </si>
  <si>
    <t xml:space="preserve">MOBILIARIO Y EQUIPAMIENTO </t>
  </si>
  <si>
    <t>Maquinas Gimnasio</t>
  </si>
  <si>
    <t>Basureros</t>
  </si>
  <si>
    <t xml:space="preserve">PAISAJISMO </t>
  </si>
  <si>
    <t>Espejos Baños (c/Marco)</t>
  </si>
  <si>
    <t>Espejos Revestimiento 4mm</t>
  </si>
  <si>
    <t>Paño Fijos 3+3</t>
  </si>
  <si>
    <t>Paño Fijos 5+5</t>
  </si>
  <si>
    <t>24.3</t>
  </si>
  <si>
    <t>24.4</t>
  </si>
  <si>
    <t>24.5</t>
  </si>
  <si>
    <t>24.6</t>
  </si>
  <si>
    <t xml:space="preserve">Provision e Instalacion Ventilador Presurizacion Escalera </t>
  </si>
  <si>
    <t xml:space="preserve">Provision e Instalacion Ascensor </t>
  </si>
  <si>
    <t>Provision e Instalacion Montacoches</t>
  </si>
  <si>
    <t>Acero Inoxidable</t>
  </si>
  <si>
    <t>Acrilico</t>
  </si>
  <si>
    <t>Alto Impacto</t>
  </si>
  <si>
    <t xml:space="preserve">Pintura </t>
  </si>
  <si>
    <t xml:space="preserve">Vinilo </t>
  </si>
  <si>
    <t>25.3</t>
  </si>
  <si>
    <t>25.4</t>
  </si>
  <si>
    <t>25.5</t>
  </si>
  <si>
    <t xml:space="preserve">Provision e Instalacion  Portones Automaticos y Semaforizacion Garage </t>
  </si>
  <si>
    <t>SETIN y Acometida</t>
  </si>
  <si>
    <t>Modulos TE; TV e Internet</t>
  </si>
  <si>
    <t>Cableado Montantes</t>
  </si>
  <si>
    <t xml:space="preserve">Apliques </t>
  </si>
  <si>
    <t xml:space="preserve">Centros </t>
  </si>
  <si>
    <t>Especiales</t>
  </si>
  <si>
    <t>Extractores</t>
  </si>
  <si>
    <t>2.1</t>
  </si>
  <si>
    <t>Descarga y traslado interno de materiales</t>
  </si>
  <si>
    <t>2.2</t>
  </si>
  <si>
    <t>2.3</t>
  </si>
  <si>
    <t>2.4</t>
  </si>
  <si>
    <t>2.5</t>
  </si>
  <si>
    <t>2.6</t>
  </si>
  <si>
    <t>2.7</t>
  </si>
  <si>
    <t>Excavación a maquina para subsuelo</t>
  </si>
  <si>
    <t>Excavación P/Cabezales., V°E°, Bases-A MAQUINA</t>
  </si>
  <si>
    <t>Excavación P/Cabezales., V°E°, Bases-A MANO</t>
  </si>
  <si>
    <t>4.1</t>
  </si>
  <si>
    <t>4.2</t>
  </si>
  <si>
    <t>4.3</t>
  </si>
  <si>
    <t>4.4</t>
  </si>
  <si>
    <t>4.5</t>
  </si>
  <si>
    <t>m³</t>
  </si>
  <si>
    <t>Perforaciones y cargas de Pilotes - sub.cont.</t>
  </si>
  <si>
    <t>Ayuda Gremio y Tareas Complementarias P/Pilotes</t>
  </si>
  <si>
    <t>Descabezado de pilotes(hasta 1m)</t>
  </si>
  <si>
    <t>HºAº Pilotes a mas de 10m de prof.</t>
  </si>
  <si>
    <t>Cabezales de fund. para pilotes.</t>
  </si>
  <si>
    <t>Bases Aisladas de HºAº.</t>
  </si>
  <si>
    <t>Platea de Hº Aº-en Planta Baja</t>
  </si>
  <si>
    <t>Vigas de Fundacion para Vinc.cabezales y Bases</t>
  </si>
  <si>
    <t>Columnas de HºAº.</t>
  </si>
  <si>
    <t>Losa Maciza de HºAº.</t>
  </si>
  <si>
    <t>Losa Nervurada de HºAº.-</t>
  </si>
  <si>
    <t>Vigas de HºAº de elevación.</t>
  </si>
  <si>
    <t>Escalera de HºAº</t>
  </si>
  <si>
    <t>Tabiques de HºAº p/TR</t>
  </si>
  <si>
    <t>Vigas HºAº - PILETA</t>
  </si>
  <si>
    <t>Losa HºAº - PILETA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</si>
  <si>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</si>
  <si>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</si>
  <si>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</si>
  <si>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</si>
  <si>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</si>
  <si>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</si>
  <si>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</si>
  <si>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</si>
  <si>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</si>
  <si>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</si>
  <si>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</si>
  <si>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</si>
  <si>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</si>
  <si>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</si>
  <si>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</si>
  <si>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</si>
  <si>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</si>
  <si>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</si>
  <si>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</si>
  <si>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</si>
  <si>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</si>
  <si>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</si>
  <si>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Mamp. De submuración subsuelo de 0,15m/0,30m</t>
  </si>
  <si>
    <t>Pared Lad HCCA 12,5x25x50</t>
  </si>
  <si>
    <t>Pared Lad HCCA 20x25x50</t>
  </si>
  <si>
    <t>Encadenado antepecho - 2Ø6mm</t>
  </si>
  <si>
    <t>Encadenado dintel - 2Ø8mm</t>
  </si>
  <si>
    <t>Dinteles con ladrillos HCCA U 12,5</t>
  </si>
  <si>
    <t>Dinteles con ladrillos HCCA U 20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</si>
  <si>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</si>
  <si>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</si>
  <si>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</si>
  <si>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</si>
  <si>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</si>
  <si>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</si>
  <si>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</si>
  <si>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</si>
  <si>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</si>
  <si>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</si>
  <si>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</si>
  <si>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</si>
  <si>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</si>
  <si>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</si>
  <si>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</si>
  <si>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</si>
  <si>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</si>
  <si>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</si>
  <si>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</si>
  <si>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21.10</t>
  </si>
  <si>
    <t>Defensas de proteccion reglamentarias PB; 3º; 8º</t>
  </si>
  <si>
    <t>Armado Pañoles</t>
  </si>
  <si>
    <t>Limpieza y retiro periodico de Basura y escombros</t>
  </si>
  <si>
    <t>Carga Escombros a Maquina</t>
  </si>
  <si>
    <t xml:space="preserve">Desmonte de suelo a maquina </t>
  </si>
  <si>
    <t>Perfilado a Mano P/Platea y contrapisos</t>
  </si>
  <si>
    <t>Vigas de encadenado para soporte de Mamp P.B</t>
  </si>
  <si>
    <t>Instalación boca de incendio en PB y boca impulsion vereda</t>
  </si>
  <si>
    <t>Cañería bombeo de tanque cisterna a tanque de reserva</t>
  </si>
  <si>
    <t xml:space="preserve">m2 </t>
  </si>
  <si>
    <t>Primer Hilada Replanteo HCCA 20</t>
  </si>
  <si>
    <t>Borde Balcon s/Losa Mortero Bombeable</t>
  </si>
  <si>
    <t>Losa Subpresión de Hº Aº-</t>
  </si>
  <si>
    <t>Tabiques de HºAº p/cajas de esc.y ascen.</t>
  </si>
  <si>
    <t>Primer Hilada Lad HCCA 12,5x25x50</t>
  </si>
  <si>
    <t>Terminacion Cocheras H25 simple - esp.=5cm</t>
  </si>
  <si>
    <t>Revoque Azotado Impermeable (esp 0,5cm)</t>
  </si>
  <si>
    <t>Revoque Grueso fratazado Impermeable (esp 2 cm)</t>
  </si>
  <si>
    <t xml:space="preserve">Revoque Grueso fratazado (esp 2cm) </t>
  </si>
  <si>
    <t>Cañeria Condensacion y Cableado Elect. Hasta 4500 fr</t>
  </si>
  <si>
    <t>Cañeria Condensacion y Cableado Elect. Hasta 9000 fr</t>
  </si>
  <si>
    <t>13.4</t>
  </si>
  <si>
    <t>13.5</t>
  </si>
  <si>
    <t>Mamp. Elev PA Lad.Com 0.15 Visto</t>
  </si>
  <si>
    <t>Film Polietileno 200 mic. bajo losa/contrap.</t>
  </si>
  <si>
    <t>Guardacantos Interiores (varilla x 2mts)</t>
  </si>
  <si>
    <t>Tomado junta Mamp. HCCA (Interior ductos y Setin)</t>
  </si>
  <si>
    <t>Emprolijado vertical Hormigon</t>
  </si>
  <si>
    <t>9.14</t>
  </si>
  <si>
    <t>Revoque Seco Interior c/Estruct y placa Verde</t>
  </si>
  <si>
    <t>9.15</t>
  </si>
  <si>
    <t>9.16</t>
  </si>
  <si>
    <t xml:space="preserve">Mochetas Ext 3en 1 (0,10) </t>
  </si>
  <si>
    <t>Cableado Unidades y Palieres</t>
  </si>
  <si>
    <t>Revestim acrilico Ext. Blanco</t>
  </si>
  <si>
    <t>INSTALACIONES ELECTRICAS FUERTES</t>
  </si>
  <si>
    <t>INSTALACIONES ELECTRICAS DEBILES</t>
  </si>
  <si>
    <t xml:space="preserve">Inst. Cajas </t>
  </si>
  <si>
    <t>Carpeta Cemento Rodillada</t>
  </si>
  <si>
    <t>Carpeta Cemento Alisada</t>
  </si>
  <si>
    <t>Carpeta Cto Fratazada impermeable</t>
  </si>
  <si>
    <t>Conexión Agua Red a tanque cisterna y canilla de servicios.</t>
  </si>
  <si>
    <t>Pintura Piso DEMARCACION</t>
  </si>
  <si>
    <t>Rejilla Ducha 0,10x0,70m</t>
  </si>
  <si>
    <t>4.6</t>
  </si>
  <si>
    <t>RDC250-esp=10cm-Fdo. Subsuelo</t>
  </si>
  <si>
    <t>RDC150-esp=12cm-Fdo cabezales</t>
  </si>
  <si>
    <t>Tablero, Inst de Obra e Iluminacion</t>
  </si>
  <si>
    <t>Baño Movil de Obra</t>
  </si>
  <si>
    <t>2.8</t>
  </si>
  <si>
    <t>Barandas provisorias en balcones y escaleras</t>
  </si>
  <si>
    <t>Carga y Retiro de Suelo a Maquina</t>
  </si>
  <si>
    <t>5.23</t>
  </si>
  <si>
    <t>Pilotines Diam 0,20x1,20m</t>
  </si>
  <si>
    <t>17.9</t>
  </si>
  <si>
    <t>Ventanas y Ventiluces (VH)</t>
  </si>
  <si>
    <t>19.2.5</t>
  </si>
  <si>
    <t xml:space="preserve">Piso Ceramico Esmaltado Int. </t>
  </si>
  <si>
    <t>Piso Ceramico Esmaltado Ext.</t>
  </si>
  <si>
    <t>Piso Porcelanato Pulido Int.</t>
  </si>
  <si>
    <t>Piso Baldosa Granit 64 panes Gris Pul 40x40</t>
  </si>
  <si>
    <t>Cerco de Obra Metálico 10 ml x 4,5 ml</t>
  </si>
  <si>
    <t>1.11</t>
  </si>
  <si>
    <t>Conexiones Agua y Cloaca</t>
  </si>
  <si>
    <t xml:space="preserve">Conexion Electrica </t>
  </si>
  <si>
    <t>Zocalo Ceramico Esmaltado Ext.</t>
  </si>
  <si>
    <t>Zocalo Porcelanato Pulido Int.</t>
  </si>
  <si>
    <t>Zocalo Porcelanato Pulido Ext.</t>
  </si>
  <si>
    <t>Zocalo Porcelanato Simil Mad Int.</t>
  </si>
  <si>
    <t>Zocalo Porcelanato Simil Mad Ext.</t>
  </si>
  <si>
    <t>Revestim. Ceramico Esmaltado Int.</t>
  </si>
  <si>
    <t>Revestim. Ceramico Venecita Int</t>
  </si>
  <si>
    <t>Revestim. Ceramico Esmaltado Ext.</t>
  </si>
  <si>
    <t>Revestim. Porcelanato Pulido Int.</t>
  </si>
  <si>
    <t>Revestim. Porcelanato Pulido Ext.</t>
  </si>
  <si>
    <t>Revestim. Placa SPL</t>
  </si>
  <si>
    <t>Rejillas de Piso Baños, Cocinas, Lav. Terrazas y Balcones</t>
  </si>
  <si>
    <t>Piso Ceramico Venecita Int</t>
  </si>
  <si>
    <t>Puesta a Tierra (Caja "H")</t>
  </si>
  <si>
    <t>Inst. Pararrayo</t>
  </si>
  <si>
    <t>Cañeria y Bandejas Montantes</t>
  </si>
  <si>
    <t>Tableros Seccionales</t>
  </si>
  <si>
    <t>11.10</t>
  </si>
  <si>
    <t>Modulos, Tapas y Fichas</t>
  </si>
  <si>
    <t>11.11</t>
  </si>
  <si>
    <t>11.12</t>
  </si>
  <si>
    <t>Tableros TG; TCoche; TSBomb; Gab.Med</t>
  </si>
  <si>
    <t>Cañeria + alambre Distrib Embutida Muros y Cielorrasos</t>
  </si>
  <si>
    <t>Cañeria Montantes y Acometidas</t>
  </si>
  <si>
    <t>PFA3 - Paño fijo Aluminio y vidrio Medianeras Terraza- 3.75x0.60m</t>
  </si>
  <si>
    <t>PVA1 - Puerta Ventana 2 hojas corredizas, Alum y vidrio - 2,65x2,40m</t>
  </si>
  <si>
    <t>PVA2 - Puerta Ventana 2 hojas corredizas, Alum y vidrio - 1.80x2,40m</t>
  </si>
  <si>
    <t>PA1 - Puerta de Aluminio y vidrio Cocheras - 1.45x2,05m</t>
  </si>
  <si>
    <t>VA2- Ventana a proyección, Alum y vidrio Baños - 1.00x0.50m</t>
  </si>
  <si>
    <t>PH1 - Portón Levadizo Cochera - 3,00x2.70m</t>
  </si>
  <si>
    <t>PH2 - Portón Setin - 3.00x2,50m</t>
  </si>
  <si>
    <t>PH3 - Portón Acceso a Sala de Máquinas/Sala de Bombas- 0.70x2,05m</t>
  </si>
  <si>
    <t>VH1 - Ventiluz Setin, 1.00x0.60m</t>
  </si>
  <si>
    <t>PI - Puerta Antecámara Ignífuga - 1,10x2,05m</t>
  </si>
  <si>
    <t>PM1 - Puerta Interior reforzada Accesos Dptos - 0,90X2,05m</t>
  </si>
  <si>
    <t>21.11</t>
  </si>
  <si>
    <t>Enduido s/paredes y tabiques</t>
  </si>
  <si>
    <t>Latex Interior s/bloques HCCA</t>
  </si>
  <si>
    <t>Latex Interior s/Cielorraso Durlock</t>
  </si>
  <si>
    <t>Latex Exterior s/Cielorraso Durlock</t>
  </si>
  <si>
    <t>Eq. Split BGH 3000 (o similar)</t>
  </si>
  <si>
    <t>Eq. Split BGH 4500 (o similar)</t>
  </si>
  <si>
    <t>Zocalo Baldosa Granit 64 panes Gris Pul 40x40</t>
  </si>
  <si>
    <t>Muebles Cocina y Oficce</t>
  </si>
  <si>
    <t>Retroiluminados S. Emergencia</t>
  </si>
  <si>
    <t>Piso Porcelanato Pulido Ext.</t>
  </si>
  <si>
    <t>Piso Porcelanato Simil Mad Int.</t>
  </si>
  <si>
    <t>Piso Porcelanato Simil Mad Ext.</t>
  </si>
  <si>
    <t>Colocacion Acc. Baño Discapacitados</t>
  </si>
  <si>
    <t>Colocacion Acc. Baño Completo</t>
  </si>
  <si>
    <t>Colocacion Acc. Baño sin ducha</t>
  </si>
  <si>
    <t>Colocacion Acc. Toilette</t>
  </si>
  <si>
    <t>Colocacion Termotanque 55l</t>
  </si>
  <si>
    <t>Colocacion Termotanque 85l</t>
  </si>
  <si>
    <t>10.5.3</t>
  </si>
  <si>
    <t>10.5.4</t>
  </si>
  <si>
    <t>10.5.5</t>
  </si>
  <si>
    <t>10.5.6</t>
  </si>
  <si>
    <t>10.5.7</t>
  </si>
  <si>
    <t>Matafuego BC DE 3.5KG</t>
  </si>
  <si>
    <t>Matafuego ABC DE 10KG</t>
  </si>
  <si>
    <t>10.6</t>
  </si>
  <si>
    <t>10.6.1</t>
  </si>
  <si>
    <t>10.6.2</t>
  </si>
  <si>
    <t>Apliques L. de Emergencia Esp Comunes</t>
  </si>
  <si>
    <t>Apliques L. de Emergencia Dptos</t>
  </si>
  <si>
    <t>Colocacion Artefactos Sanitarios</t>
  </si>
  <si>
    <t>Inodoro c/deposito</t>
  </si>
  <si>
    <t>Inodoro Disca c/deposito</t>
  </si>
  <si>
    <t>Bidet (1o 3 aguj)</t>
  </si>
  <si>
    <t>Lavatorio (1 o 3 Aguj)</t>
  </si>
  <si>
    <t>Lavat Discap (1 o 3 Aguj)</t>
  </si>
  <si>
    <t>Pileta Vanitory</t>
  </si>
  <si>
    <t>Pileta Cocina Gde</t>
  </si>
  <si>
    <t>Pileta Cocina Ch</t>
  </si>
  <si>
    <t>Pileta Lavadero</t>
  </si>
  <si>
    <t>COLOCACION GRIFERIAS Y ACCESORIOS</t>
  </si>
  <si>
    <t>Colocacion Griferias (Duº, Btº, Lvº, Coc, Lavad)</t>
  </si>
  <si>
    <t>Griferia Lavatorio (AF)</t>
  </si>
  <si>
    <t>Griferia Office (AF)</t>
  </si>
  <si>
    <t>Colocacion Accesorios (Baños y Toilettes)</t>
  </si>
  <si>
    <t>Colocacion Termotanques</t>
  </si>
  <si>
    <t>Colocacion Matafuegos y ChºBalizas</t>
  </si>
  <si>
    <t>Colocacion Artefactos Iluminacion</t>
  </si>
  <si>
    <t>Camaras Interiores</t>
  </si>
  <si>
    <t>Camaras Exteriores</t>
  </si>
  <si>
    <t>Pintura de Piso Superficial</t>
  </si>
  <si>
    <t>Macetas</t>
  </si>
  <si>
    <t>Mesa Centro  - 1,00x1,43m (Hall acceso)</t>
  </si>
  <si>
    <t>Mesa Centro - 0,75x1,90m (SUM)</t>
  </si>
  <si>
    <t>Mesa  Comedor - 1,00x3,50m (SUM)</t>
  </si>
  <si>
    <t>Mueble Porteria - 0,55x2,30x1,10m</t>
  </si>
  <si>
    <t>Sillon Interior 3 cuerpos  -  0,90x2,30m (Hall Acceso - SUM)</t>
  </si>
  <si>
    <t>Sillon Interior 1 cuerpo  -  0,55x0,57m (Hall Acceso)</t>
  </si>
  <si>
    <t>Sillon Interior 1 cuerpo  -  1,00x0,90m (SUM)</t>
  </si>
  <si>
    <t>Sillon Exterior 1 cuerpo  -  1,00x0,90m (Terraza)</t>
  </si>
  <si>
    <t>Sillon Exterior 3 cuerpos  -  0,90x2,30m (Terraza)</t>
  </si>
  <si>
    <t>Mueble Estar - 0,50x4,96x0,50m</t>
  </si>
  <si>
    <t>Mesa Oficina  - Diam. 1,30m (Sala de reuniones)</t>
  </si>
  <si>
    <t>Mesa Centro - 0,75x0,85m (Terraza Frente)</t>
  </si>
  <si>
    <t>Multigimnasio</t>
  </si>
  <si>
    <t>Bici Fija</t>
  </si>
  <si>
    <t>Banco Press</t>
  </si>
  <si>
    <t>Caminadora</t>
  </si>
  <si>
    <t>Banco Multifuncion</t>
  </si>
  <si>
    <t>Heladera Vitrina (SUM)</t>
  </si>
  <si>
    <t xml:space="preserve">Parrilla E. Tromen </t>
  </si>
  <si>
    <t xml:space="preserve">Ladrillones de Isopor </t>
  </si>
  <si>
    <t>Tejuelas Lad. Com. 3x5,5x24cm</t>
  </si>
  <si>
    <t>Revoque Seco Interior c/Estruct y placa Comun</t>
  </si>
  <si>
    <t>9.17</t>
  </si>
  <si>
    <t>9.18</t>
  </si>
  <si>
    <t>Revoque Monocapa Yeso</t>
  </si>
  <si>
    <t>Detectores Temperatura</t>
  </si>
  <si>
    <t>Griferia Lavatorio (AF Y AC)</t>
  </si>
  <si>
    <t>VA1 - Ventana 2 hojas corredizas, Alum y vidrio Dormitorios - 1.80x1.15m</t>
  </si>
  <si>
    <t>PH4 - Puerta estanca Insp. Cisterna - 0,60x0,60m</t>
  </si>
  <si>
    <t>PM4 - Puerta Placa Interior - 0,65X2,05m</t>
  </si>
  <si>
    <t>PM2 - Puerta Placa Interior - 0,80X2,05m</t>
  </si>
  <si>
    <t>PM3 - Puerta Placa Interior - 0,70X2,05m</t>
  </si>
  <si>
    <t>PM5 - Puerta Placa Interior - 0,90X2,05m</t>
  </si>
  <si>
    <t xml:space="preserve">Antepechos Premoldeados cortafuego </t>
  </si>
  <si>
    <t>Colocacion Termotanque 125l</t>
  </si>
  <si>
    <t>Colocacion filtro, bomba y accesorios</t>
  </si>
  <si>
    <t>Eq. Split BGH 6000 (o similar)</t>
  </si>
  <si>
    <t xml:space="preserve">Buña Cielorraso - Pared </t>
  </si>
  <si>
    <t xml:space="preserve">Corniza Pared-Cielorraso </t>
  </si>
  <si>
    <t>22.2.3</t>
  </si>
  <si>
    <t>22.2.4</t>
  </si>
  <si>
    <t>22.2.5</t>
  </si>
  <si>
    <t xml:space="preserve">Sillon Reposera </t>
  </si>
  <si>
    <t>Griferia Lavadero (AF Y AC)</t>
  </si>
  <si>
    <t>Griferia Lavadero (AF)</t>
  </si>
  <si>
    <t>Pileta Oficce</t>
  </si>
  <si>
    <t>Perfil Terminacion P/Piso</t>
  </si>
  <si>
    <t xml:space="preserve">Perfil Aluminio  terminacion cuadrada </t>
  </si>
  <si>
    <t>Perfil terminacion P/Revestimientos</t>
  </si>
  <si>
    <t>Placares y Muebles de Guardado</t>
  </si>
  <si>
    <t>Mueble Sala de Reuniones - 0,35x3,00x0,50m</t>
  </si>
  <si>
    <t>Medidor Suministro Clase B 15mm</t>
  </si>
  <si>
    <t>Medidor Suministro Vereda diam. 25</t>
  </si>
  <si>
    <t>Canilla de  Servicio</t>
  </si>
  <si>
    <t>Griferia Ducha (AF Y AC)</t>
  </si>
  <si>
    <t>Griferia Bidet (AF Y AC)</t>
  </si>
  <si>
    <t>Griferia Cocina (AF Y AC)</t>
  </si>
  <si>
    <t>Griferia Cocina (AF)</t>
  </si>
  <si>
    <t>Gabinete Metálico Diam. 44,5</t>
  </si>
  <si>
    <t>Pared Lad HCCA 10x25x50</t>
  </si>
  <si>
    <t>Primer Hilada Lad HCCA 10x25x50</t>
  </si>
  <si>
    <t>Antepechos Premoldeados cortafuego Ancho=0,40m x 1,00-SUM</t>
  </si>
  <si>
    <t>Antepechos Premoldeados cortafuego Ancho=0,40m x 1,80-SUM</t>
  </si>
  <si>
    <t>Antepechos Premoldeados cortafuego Ancho=0,20m x 1,00-LAVADERO</t>
  </si>
  <si>
    <t>Pintura Siliconada Transparente (Lad. Visto)</t>
  </si>
  <si>
    <t>Guardacanto PVC  P/Deck</t>
  </si>
  <si>
    <t>Perfil Aluminio Media caña (Piscina/Baños)</t>
  </si>
  <si>
    <t>Tapa Boca de Acceso 10X10 (D. SPLITS)</t>
  </si>
  <si>
    <t>Rejilla Embudos H. 20x20</t>
  </si>
  <si>
    <t>Rejilla Embudos V. 15x20</t>
  </si>
  <si>
    <t>Revestim. Madera</t>
  </si>
  <si>
    <t>Revestim. A°I°</t>
  </si>
  <si>
    <t>14.9</t>
  </si>
  <si>
    <t>Pintura Demarcacion Blanca (Peaton)</t>
  </si>
  <si>
    <t>Pintura Demarcacion Amarilla (Modulo est.)</t>
  </si>
  <si>
    <t>Vanitory Antebaño-0,60X0,96m</t>
  </si>
  <si>
    <t>Vanitory B°S-SUM-GYM-0,60X0,80m</t>
  </si>
  <si>
    <t>Vanitory Toilette- Modulos ajuste (A-0,40m; verificar largos en computo)</t>
  </si>
  <si>
    <t xml:space="preserve">MCS-0,60X2,40 </t>
  </si>
  <si>
    <t>MCSI-0,80X2,40</t>
  </si>
  <si>
    <t>VA3- Ventana a proyección, Alum y vidrio Baños - 0,60x1,15m</t>
  </si>
  <si>
    <t>VA4- Ventana 2 hojas corredizas, con paño fjo superior, Alum y vidrio  Sum - 1.80x1.50m</t>
  </si>
  <si>
    <t>VA5- Ventana a proyección con paño fijo superior, Alum y vidrio Sum - 1.00x1.50m</t>
  </si>
  <si>
    <t>MCD-0,60X1,81-F</t>
  </si>
  <si>
    <t>MCD-0,60X1,81-CF</t>
  </si>
  <si>
    <t xml:space="preserve">MCD-0,80X2,56-F </t>
  </si>
  <si>
    <t xml:space="preserve">MCD-0,80X2,56-CF </t>
  </si>
  <si>
    <t>Mueble Cocina - 0,70x1,60x2,40m</t>
  </si>
  <si>
    <t>Sillas Sala de Reuniones</t>
  </si>
  <si>
    <t>Sillas SUM</t>
  </si>
  <si>
    <t>Banquetas Sum</t>
  </si>
  <si>
    <t>Banquetas Terraza</t>
  </si>
  <si>
    <t>Basurero PVC</t>
  </si>
  <si>
    <t>Espejos 0,60X1,10m</t>
  </si>
  <si>
    <t>Espejos 0,80X1,10m</t>
  </si>
  <si>
    <t>Espejos 0,96X1,10m</t>
  </si>
  <si>
    <t>Mampara 0,60x2,10m</t>
  </si>
  <si>
    <t>Piso Ceramico Venecita Ext (Piscina)</t>
  </si>
  <si>
    <t>Revestim. Ceramico Venecita Ext (Piscina)</t>
  </si>
  <si>
    <t>H3-Ducto Pres. Ch° Galv. 0,55x0,55x0,78 - L:33,17m</t>
  </si>
  <si>
    <t>H5-Tapa Acceso Tanques-0,60x1,00m</t>
  </si>
  <si>
    <t>H6-Tapa Acceso Tanques-0,30x0,30m</t>
  </si>
  <si>
    <t>H7-Tapa Camara Insp.-0,60x0,60m</t>
  </si>
  <si>
    <t>H8-Tapa Interceptor de Trapos.-0,60x1,20m</t>
  </si>
  <si>
    <t>H9-Tapa Camara I.E.-1,20x1,20m</t>
  </si>
  <si>
    <t>H10-Tapa Camara I.E.-0,65x1,00m</t>
  </si>
  <si>
    <t>H11-BDT-0,30X0,30m</t>
  </si>
  <si>
    <t>H12-BDT-0,60X0,60m</t>
  </si>
  <si>
    <t>H14-BDA-0,20X0,20m</t>
  </si>
  <si>
    <t>H13-BDT 0,25x1,10m -Acc. Cocheras-</t>
  </si>
  <si>
    <t>H16-Canaleta CH°Galv. A: 20cmx 6,50m</t>
  </si>
  <si>
    <t>H17-Canaletas CH°Galv. A: 20cmx 11,15m (2un)</t>
  </si>
  <si>
    <t>H18-Canaletas CH°Galv. A: 20cmx 30,30m</t>
  </si>
  <si>
    <t>BH1-Baranda Escalera Ppal.</t>
  </si>
  <si>
    <t>BH2-Baranda Tanque de Reserva</t>
  </si>
  <si>
    <t>Spar - Purificador de Cocina TURBOTRONIC 1 motor (o similar)</t>
  </si>
  <si>
    <t>Contrapiso Planta Baja Int RDC-250 - (esp.=10cm)</t>
  </si>
  <si>
    <t>Contrapiso Planta Baja Ext H17 simple - (esp.=10cm)</t>
  </si>
  <si>
    <t>Contrapiso Planta Baja Ext H17 c/Malla Q188 - (esp.=10cm)</t>
  </si>
  <si>
    <t>MO-0,60X1,20</t>
  </si>
  <si>
    <t>H1-Escalera Marinera Tramo Doble Ltotal:3,12m</t>
  </si>
  <si>
    <t>H2-Escalera Marinera Tramo Simple L:6,02m</t>
  </si>
  <si>
    <t>6.16</t>
  </si>
  <si>
    <t>Esmalte Sintetico Carpinterias y Herrerias</t>
  </si>
  <si>
    <t>Latex s/Cielorraso Hormigon</t>
  </si>
  <si>
    <t>Latex Int-Ext S/Hormigon</t>
  </si>
  <si>
    <t>Piso Baldosa Podotáctil Guia 40x40 (Lineas)</t>
  </si>
  <si>
    <t>Electrodomesticos</t>
  </si>
  <si>
    <t>Mobiliario</t>
  </si>
  <si>
    <t>Mampara Baños 10mm</t>
  </si>
  <si>
    <t>Montaje y retiro Balancines</t>
  </si>
  <si>
    <t>Montaje y retiro Montacargas</t>
  </si>
  <si>
    <t>Suspendido de MDF c/Melamina simil Madera</t>
  </si>
  <si>
    <t>Zocalo Ceramico Esmaltado Int.</t>
  </si>
  <si>
    <t>Revestim. Refractarios</t>
  </si>
  <si>
    <t>BA1 - Baranda Balcón Frente/Contrafrente. - 7.80x0.78m + 2 laterales de 1.20x0.78m</t>
  </si>
  <si>
    <t xml:space="preserve">H20-Pergola </t>
  </si>
  <si>
    <t>PFA1 - Paño fijo Aluminio y vidrio Acceso - 1.10x2.10m</t>
  </si>
  <si>
    <t>Semaforo</t>
  </si>
  <si>
    <t>Extintor rodante ABC 10 kg</t>
  </si>
  <si>
    <t>Contrapiso Int s/Losa Mortero Bombeable.-esp=8cm/11cm</t>
  </si>
  <si>
    <t>Contrapiso Ext s/Losa Mortero Bombeable.-esp=3cm/6cm</t>
  </si>
  <si>
    <t xml:space="preserve">FVA1 - Frente Vidriado Acceso - 3.595x5.33m </t>
  </si>
  <si>
    <t xml:space="preserve">FVA2 - Frente Vidriado Acceso -0,95x5.33m </t>
  </si>
  <si>
    <t xml:space="preserve">FVA3 - Frente Vidriado Oficina - 3.818x2.60m </t>
  </si>
  <si>
    <t xml:space="preserve">FVA4 - Frente Vidriado Gimnasio - 6.02x2.40m </t>
  </si>
  <si>
    <t xml:space="preserve">FVA5 - Frente Vidriado Gimnasio - 2.58x2.40m </t>
  </si>
  <si>
    <t>PVA3 - Puerta Ventana 2 hojas corredizas, Alum y vidrio Sum - 5.26x2,40m</t>
  </si>
  <si>
    <t>PA2 - Puerta de Aluminio y vidrio  Oficina- 1,295x2,05m</t>
  </si>
  <si>
    <t>PA3 - Puerta de Aluminio y vidrio Palier Entrepiso - 1,10x2,05m</t>
  </si>
  <si>
    <t>PA4 - Puerta de Aluminio y vidrio Sum/Terraza - 0.90x2,40m</t>
  </si>
  <si>
    <t>Griferia Ducha (AF)</t>
  </si>
  <si>
    <t>ML-0,60X0,70-CF</t>
  </si>
  <si>
    <t>PVA4 - Puerta Ventana 6 hojas corredizas, Alum y vidrio Estar-Comedor 1A - 7.70x2,40m</t>
  </si>
  <si>
    <t>VA6 - Ventana 2 hojas corredizas, Alum y vidrio Dormitorios - 1.50x1.15m</t>
  </si>
  <si>
    <t>PM6 - Puerta Placa Interior - 0,75X2,05m</t>
  </si>
  <si>
    <t>Colocacion Termotanque 110l</t>
  </si>
  <si>
    <t>Vanitory Toilette-0,40X0,55m</t>
  </si>
  <si>
    <t>Vanitory Antebaño-0,60X1,00m</t>
  </si>
  <si>
    <t>P1-0,30X0,64X2,60m-F</t>
  </si>
  <si>
    <t>P2-0,40X0,59X2,60m-CF</t>
  </si>
  <si>
    <t>P2-0,40X0,59X2,60m-F</t>
  </si>
  <si>
    <t>P3-0,40X0,64X2,60m-F</t>
  </si>
  <si>
    <t>P3-0,40X0,64X2,60m-CF</t>
  </si>
  <si>
    <t>P4-0,55X0,64X2,40m-F</t>
  </si>
  <si>
    <t>P5-0,60X0,95X2,40m-F</t>
  </si>
  <si>
    <t>P5-0,60X0,95X2,40m-CF</t>
  </si>
  <si>
    <t>P6-0,60X1,00X2,40m-CF</t>
  </si>
  <si>
    <t>P7-0,355X1,71X2,60m-F</t>
  </si>
  <si>
    <t>P8-0,60X1,40X2,60m-F</t>
  </si>
  <si>
    <t>P9-0,60X1,88X2,60m-F</t>
  </si>
  <si>
    <t>P9-0,60X1,88X2,60m-CF</t>
  </si>
  <si>
    <t>P10-0,60X1,95X2,60m-F</t>
  </si>
  <si>
    <t>P10-0,60X1,95X2,60m-CF</t>
  </si>
  <si>
    <t>P11-0,60X2,05X2,60m-F</t>
  </si>
  <si>
    <t>ML-0,60x0,70-F</t>
  </si>
  <si>
    <t>PV1-0.60X1,90X2,60-F (c/vestidor con 2 unidades)</t>
  </si>
  <si>
    <t>PV1-0.60X1,90X2,60-CF (c/vestidor con 2 unidades)</t>
  </si>
  <si>
    <t>PV2-0,60X1,90X2,40-F (c/vestidor con 2 unidades)</t>
  </si>
  <si>
    <t>PV2-0,60X1,90X2,40-CF (c/vestidor con 2 unidades)</t>
  </si>
  <si>
    <t>PM7 - Puerta Insp. Ducto de Agua - 0,60x0,85m</t>
  </si>
  <si>
    <t>PM8 - Puerta Insp. Ducto Eléctrico - 0,60x0,85m</t>
  </si>
  <si>
    <t>PH7 - Frente  Parrilla Balcones - 1,28x1,55m</t>
  </si>
  <si>
    <t>PH8 - Frente  Parrilla SUM - 2,49x2,60m</t>
  </si>
  <si>
    <t>RA1-Rejilla Ventilacion ducto 10x30cm</t>
  </si>
  <si>
    <t>RA2-Rejilla ducto Presurizacion  30X50cm</t>
  </si>
  <si>
    <t>TV Smart 55" (SUM-Gimnasio-Oficina)</t>
  </si>
  <si>
    <t>Rejilla Ducha 0,10x0,85m</t>
  </si>
  <si>
    <t>Rejilla Ducha 0,10x0,95m</t>
  </si>
  <si>
    <t>Espejos 1,00X1,10m</t>
  </si>
  <si>
    <t>Vanitory Toilette-0,50X0,60m</t>
  </si>
  <si>
    <t xml:space="preserve">MCD1A-0,50x1,225-1AF </t>
  </si>
  <si>
    <t xml:space="preserve">MCD1A-0,60/0,80x3,98-1AF </t>
  </si>
  <si>
    <t>ML-0,60x0,70-2,40-CF (7B)</t>
  </si>
  <si>
    <t>ML-0,60x0,70x2,40-F (3A)</t>
  </si>
  <si>
    <t>ML-0,60x1,40-F (1A)</t>
  </si>
  <si>
    <t>ML-0,60x0,70-CF (1A)</t>
  </si>
  <si>
    <t>PV4-A Y B-CF (1A)</t>
  </si>
  <si>
    <t>PV3-A Y B-F (3A)</t>
  </si>
  <si>
    <t>PV5-A Y B-F (5A-7A)</t>
  </si>
  <si>
    <t>PV5-A Y B-CF (5B-7B)</t>
  </si>
  <si>
    <t>PV6-A Y B-F (8A)</t>
  </si>
  <si>
    <t>PFA2 - Paño fijo Aluminio y vidrio Sum - 0.85x2.40m</t>
  </si>
  <si>
    <t>RA3- Rejillas ventilacion ductos Azotea (ver detalles en planilla)</t>
  </si>
  <si>
    <t>BA3 - Baranda Balcón Frente/Contrafrente. - 7.80x1.30m + 2 laterales de 1.20x1.30m</t>
  </si>
  <si>
    <t>BA2 - Baranda Piscina Contrafrente - 1.885x1.35 + 2.185x1.35m</t>
  </si>
  <si>
    <t>PH5 - Puerta Guardado balcon frente - 1,28x2,45m (1A)</t>
  </si>
  <si>
    <t>PH6 - Puerta Guardado balcon contrafrente - 0,735x2,45m (1A)</t>
  </si>
  <si>
    <t xml:space="preserve">PH9 - Puerta Sala de Maquinas Frente - 1,50x2,00m </t>
  </si>
  <si>
    <t xml:space="preserve">PH9´- Puerta Sala de Maquinas Contrafrente - 1,50x2,00m </t>
  </si>
  <si>
    <t>RH1 - Cerramiento fijo - 1.80x1.35m -Terraza contrafrente</t>
  </si>
  <si>
    <t>RH2 - Cerramiento fijo - 1.00x1.35m -Terraza contrafrente</t>
  </si>
  <si>
    <t>RH3 - Cerramiento fijo - 1.00x1.50m -Sala de Maquinas</t>
  </si>
  <si>
    <t>H21-Reja toma aire ducto ventilacion - 0,20x1,13m</t>
  </si>
  <si>
    <t>H22-Reja toma aire ducto ventilacion - 0,29x0,65m</t>
  </si>
  <si>
    <t>Barra Terraza - 1,00x3,50m (SUM)</t>
  </si>
  <si>
    <t>Mueble Barra Terraza - 0,85x2,40x0,90m</t>
  </si>
  <si>
    <t>Balde con tapa (arena, vermiculita, etc)</t>
  </si>
  <si>
    <t>Cerramimento Superboard Piscina</t>
  </si>
  <si>
    <t>Instalacion de medidores Suministro</t>
  </si>
  <si>
    <t>Reja Interceptora de trapos</t>
  </si>
  <si>
    <t>Cubierta de Chapa s/ est. Metálica</t>
  </si>
  <si>
    <t>Pergola</t>
  </si>
  <si>
    <t>Zinguerias</t>
  </si>
  <si>
    <t>Estructra soporte Piscina</t>
  </si>
  <si>
    <t>Rejillas de Piso y Ventilacion</t>
  </si>
  <si>
    <t>Vanitorys</t>
  </si>
  <si>
    <t>Muebles Lavadero</t>
  </si>
  <si>
    <t>Arzamendia</t>
  </si>
  <si>
    <t>MALT</t>
  </si>
  <si>
    <t>Edificio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</si>
</sst>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wrapText="1"/>
    </xf>
    <xf numFmtId="4" fontId="2" fillId="2" borderId="0" xfId="0" applyNumberFormat="1" applyFont="1" applyFill="1"/>
    <xf numFmtId="0" fontId="2" fillId="0" borderId="0" xfId="0" applyFont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4" fontId="2" fillId="0" borderId="0" xfId="0" applyNumberFormat="1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/>
    <xf numFmtId="4" fontId="3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justify" vertical="justify" wrapText="1"/>
    </xf>
    <xf numFmtId="0" fontId="2" fillId="0" borderId="1" xfId="0" applyFont="1" applyFill="1" applyBorder="1" applyAlignment="1">
      <alignment horizontal="justify" vertical="justify" wrapText="1"/>
    </xf>
    <xf numFmtId="0" fontId="2" fillId="3" borderId="1" xfId="0" applyFont="1" applyFill="1" applyBorder="1" applyAlignment="1">
      <alignment horizontal="right"/>
    </xf>
    <xf numFmtId="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wrapText="1"/>
    </xf>
    <xf numFmtId="2" fontId="2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Border="1" applyAlignment="1"/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" fontId="2" fillId="0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wrapText="1"/>
    </xf>
    <xf numFmtId="0" fontId="2" fillId="0" borderId="0" xfId="0" applyFont="1" applyFill="1"/>
    <xf numFmtId="4" fontId="2" fillId="0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/>
    <xf numFmtId="0" fontId="3" fillId="4" borderId="1" xfId="0" applyFont="1" applyFill="1" applyBorder="1" applyAlignment="1">
      <alignment horizontal="center"/>
    </xf>
    <xf numFmtId="4" fontId="3" fillId="4" borderId="1" xfId="0" applyNumberFormat="1" applyFont="1" applyFill="1" applyBorder="1" applyAlignment="1"/>
    <xf numFmtId="0" fontId="2" fillId="0" borderId="0" xfId="0" applyFont="1" applyFill="1" applyAlignment="1">
      <alignment wrapText="1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4" fontId="2" fillId="4" borderId="1" xfId="0" applyNumberFormat="1" applyFont="1" applyFill="1" applyBorder="1" applyAlignment="1"/>
    <xf numFmtId="0" fontId="1" fillId="0" borderId="1" xfId="0" applyFont="1" applyBorder="1" applyAlignment="1"/>
    <xf numFmtId="0" fontId="2" fillId="0" borderId="1" xfId="0" applyFont="1" applyFill="1" applyBorder="1" applyAlignment="1"/>
    <xf numFmtId="4" fontId="2" fillId="5" borderId="1" xfId="0" applyNumberFormat="1" applyFont="1" applyFill="1" applyBorder="1"/>
    <xf numFmtId="4" fontId="1" fillId="5" borderId="1" xfId="0" applyNumberFormat="1" applyFont="1" applyFill="1" applyBorder="1"/>
    <xf numFmtId="0" fontId="4" fillId="2" borderId="0" xfId="0" applyFont="1" applyFill="1"/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87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1" sqref="E11"/>
    </sheetView>
  </sheetViews>
  <sheetFormatPr baseColWidth="10" defaultRowHeight="11.25" outlineLevelRow="1" x14ac:dyDescent="0.2"/>
  <cols>
    <col min="1" max="1" width="10.5703125" style="4" bestFit="1" customWidth="1"/>
    <col min="2" max="2" width="60.28515625" style="6" bestFit="1" customWidth="1"/>
    <col min="3" max="3" width="6" style="8" customWidth="1"/>
    <col min="4" max="4" width="8.42578125" style="4" customWidth="1"/>
    <col min="5" max="16384" width="11.42578125" style="4"/>
  </cols>
  <sheetData>
    <row r="1" spans="1:4" x14ac:dyDescent="0.2">
      <c r="A1" s="56" t="s">
        <v>862</v>
      </c>
      <c r="B1" s="2" t="s">
        <v>54</v>
      </c>
      <c r="C1" s="32"/>
      <c r="D1" s="3"/>
    </row>
    <row r="2" spans="1:4" x14ac:dyDescent="0.2">
      <c r="A2" s="1" t="s">
        <v>34</v>
      </c>
      <c r="B2" s="5" t="s">
        <v>861</v>
      </c>
      <c r="C2" s="32"/>
      <c r="D2" s="3"/>
    </row>
    <row r="3" spans="1:4" x14ac:dyDescent="0.2">
      <c r="A3" s="1" t="s">
        <v>35</v>
      </c>
      <c r="B3" s="5" t="s">
        <v>863</v>
      </c>
      <c r="C3" s="32"/>
      <c r="D3" s="3"/>
    </row>
    <row r="4" spans="1:4" x14ac:dyDescent="0.2">
      <c r="A4" s="1" t="s">
        <v>36</v>
      </c>
      <c r="B4" s="5"/>
      <c r="C4" s="32"/>
      <c r="D4" s="3"/>
    </row>
    <row r="5" spans="1:4" x14ac:dyDescent="0.2">
      <c r="D5" s="7"/>
    </row>
    <row r="6" spans="1:4" ht="11.25" customHeight="1" x14ac:dyDescent="0.2">
      <c r="A6" s="9" t="s">
        <v>29</v>
      </c>
      <c r="B6" s="10" t="s">
        <v>30</v>
      </c>
      <c r="C6" s="9" t="s">
        <v>31</v>
      </c>
      <c r="D6" s="12" t="s">
        <v>32</v>
      </c>
    </row>
    <row r="7" spans="1:4" ht="11.25" customHeight="1" x14ac:dyDescent="0.2">
      <c r="A7" s="13">
        <v>1</v>
      </c>
      <c r="B7" s="14" t="s">
        <v>162</v>
      </c>
      <c r="C7" s="9"/>
      <c r="D7" s="12"/>
    </row>
    <row r="8" spans="1:4" ht="11.25" customHeight="1" x14ac:dyDescent="0.2">
      <c r="A8" s="26" t="s">
        <v>56</v>
      </c>
      <c r="B8" s="15" t="s">
        <v>541</v>
      </c>
      <c r="C8" s="16" t="s">
        <v>42</v>
      </c>
      <c r="D8" s="17">
        <v>1</v>
      </c>
    </row>
    <row r="9" spans="1:4" ht="11.25" customHeight="1" x14ac:dyDescent="0.2">
      <c r="A9" s="26" t="s">
        <v>57</v>
      </c>
      <c r="B9" s="15" t="s">
        <v>544</v>
      </c>
      <c r="C9" s="16" t="s">
        <v>39</v>
      </c>
      <c r="D9" s="17">
        <v>1</v>
      </c>
    </row>
    <row r="10" spans="1:4" ht="11.25" customHeight="1" x14ac:dyDescent="0.2">
      <c r="A10" s="26" t="s">
        <v>58</v>
      </c>
      <c r="B10" s="15" t="s">
        <v>543</v>
      </c>
      <c r="C10" s="16" t="s">
        <v>39</v>
      </c>
      <c r="D10" s="17">
        <v>1</v>
      </c>
    </row>
    <row r="11" spans="1:4" ht="11.25" customHeight="1" x14ac:dyDescent="0.2">
      <c r="A11" s="26" t="s">
        <v>59</v>
      </c>
      <c r="B11" s="15" t="s">
        <v>159</v>
      </c>
      <c r="C11" s="16" t="s">
        <v>38</v>
      </c>
      <c r="D11" s="17">
        <v>20</v>
      </c>
    </row>
    <row r="12" spans="1:4" ht="11.25" customHeight="1" x14ac:dyDescent="0.2">
      <c r="A12" s="26" t="s">
        <v>60</v>
      </c>
      <c r="B12" s="15" t="s">
        <v>37</v>
      </c>
      <c r="C12" s="16" t="s">
        <v>38</v>
      </c>
      <c r="D12" s="17">
        <v>450</v>
      </c>
    </row>
    <row r="13" spans="1:4" ht="11.25" customHeight="1" x14ac:dyDescent="0.2">
      <c r="A13" s="26" t="s">
        <v>61</v>
      </c>
      <c r="B13" s="15" t="s">
        <v>161</v>
      </c>
      <c r="C13" s="16" t="s">
        <v>42</v>
      </c>
      <c r="D13" s="17">
        <v>0</v>
      </c>
    </row>
    <row r="14" spans="1:4" ht="11.25" customHeight="1" x14ac:dyDescent="0.2">
      <c r="A14" s="26" t="s">
        <v>62</v>
      </c>
      <c r="B14" s="15" t="s">
        <v>160</v>
      </c>
      <c r="C14" s="16" t="s">
        <v>39</v>
      </c>
      <c r="D14" s="17">
        <v>1</v>
      </c>
    </row>
    <row r="15" spans="1:4" ht="11.25" customHeight="1" x14ac:dyDescent="0.2">
      <c r="A15" s="26" t="s">
        <v>63</v>
      </c>
      <c r="B15" s="15" t="s">
        <v>528</v>
      </c>
      <c r="C15" s="16" t="s">
        <v>39</v>
      </c>
      <c r="D15" s="17">
        <v>1</v>
      </c>
    </row>
    <row r="16" spans="1:4" ht="11.25" customHeight="1" x14ac:dyDescent="0.2">
      <c r="A16" s="26" t="s">
        <v>64</v>
      </c>
      <c r="B16" s="15" t="s">
        <v>158</v>
      </c>
      <c r="C16" s="16" t="s">
        <v>39</v>
      </c>
      <c r="D16" s="17">
        <v>1</v>
      </c>
    </row>
    <row r="17" spans="1:4" ht="11.25" customHeight="1" x14ac:dyDescent="0.2">
      <c r="A17" s="26" t="s">
        <v>65</v>
      </c>
      <c r="B17" s="15" t="s">
        <v>527</v>
      </c>
      <c r="C17" s="16" t="s">
        <v>39</v>
      </c>
      <c r="D17" s="17">
        <v>1</v>
      </c>
    </row>
    <row r="18" spans="1:4" ht="11.25" customHeight="1" x14ac:dyDescent="0.2">
      <c r="A18" s="26" t="s">
        <v>542</v>
      </c>
      <c r="B18" s="15" t="s">
        <v>152</v>
      </c>
      <c r="C18" s="16" t="s">
        <v>39</v>
      </c>
      <c r="D18" s="17">
        <v>1</v>
      </c>
    </row>
    <row r="19" spans="1:4" ht="11.25" customHeight="1" x14ac:dyDescent="0.2">
      <c r="A19" s="18"/>
      <c r="B19" s="15"/>
      <c r="C19" s="16"/>
      <c r="D19" s="17"/>
    </row>
    <row r="20" spans="1:4" ht="11.25" customHeight="1" x14ac:dyDescent="0.2">
      <c r="A20" s="13">
        <v>2</v>
      </c>
      <c r="B20" s="14" t="s">
        <v>172</v>
      </c>
      <c r="C20" s="9"/>
      <c r="D20" s="12"/>
    </row>
    <row r="21" spans="1:4" ht="11.25" customHeight="1" x14ac:dyDescent="0.2">
      <c r="A21" s="26" t="s">
        <v>398</v>
      </c>
      <c r="B21" s="19" t="s">
        <v>480</v>
      </c>
      <c r="C21" s="16" t="s">
        <v>42</v>
      </c>
      <c r="D21" s="17">
        <v>3</v>
      </c>
    </row>
    <row r="22" spans="1:4" ht="11.25" customHeight="1" x14ac:dyDescent="0.2">
      <c r="A22" s="26" t="s">
        <v>400</v>
      </c>
      <c r="B22" s="19" t="s">
        <v>530</v>
      </c>
      <c r="C22" s="16" t="s">
        <v>298</v>
      </c>
      <c r="D22" s="17">
        <v>12</v>
      </c>
    </row>
    <row r="23" spans="1:4" ht="11.25" customHeight="1" x14ac:dyDescent="0.2">
      <c r="A23" s="26" t="s">
        <v>401</v>
      </c>
      <c r="B23" s="19" t="s">
        <v>481</v>
      </c>
      <c r="C23" s="16" t="s">
        <v>42</v>
      </c>
      <c r="D23" s="17">
        <v>5</v>
      </c>
    </row>
    <row r="24" spans="1:4" ht="11.25" customHeight="1" x14ac:dyDescent="0.2">
      <c r="A24" s="26" t="s">
        <v>402</v>
      </c>
      <c r="B24" s="20" t="s">
        <v>482</v>
      </c>
      <c r="C24" s="16" t="s">
        <v>42</v>
      </c>
      <c r="D24" s="17">
        <v>144</v>
      </c>
    </row>
    <row r="25" spans="1:4" ht="11.25" customHeight="1" x14ac:dyDescent="0.2">
      <c r="A25" s="26" t="s">
        <v>403</v>
      </c>
      <c r="B25" s="20" t="s">
        <v>399</v>
      </c>
      <c r="C25" s="16" t="s">
        <v>42</v>
      </c>
      <c r="D25" s="17">
        <v>72</v>
      </c>
    </row>
    <row r="26" spans="1:4" ht="11.25" customHeight="1" x14ac:dyDescent="0.2">
      <c r="A26" s="26" t="s">
        <v>404</v>
      </c>
      <c r="B26" s="19" t="s">
        <v>150</v>
      </c>
      <c r="C26" s="16" t="s">
        <v>298</v>
      </c>
      <c r="D26" s="17">
        <v>12</v>
      </c>
    </row>
    <row r="27" spans="1:4" ht="11.25" customHeight="1" x14ac:dyDescent="0.2">
      <c r="A27" s="26" t="s">
        <v>405</v>
      </c>
      <c r="B27" s="19" t="s">
        <v>764</v>
      </c>
      <c r="C27" s="16" t="s">
        <v>42</v>
      </c>
      <c r="D27" s="17"/>
    </row>
    <row r="28" spans="1:4" ht="11.25" customHeight="1" x14ac:dyDescent="0.2">
      <c r="A28" s="26" t="s">
        <v>529</v>
      </c>
      <c r="B28" s="19" t="s">
        <v>763</v>
      </c>
      <c r="C28" s="16" t="s">
        <v>42</v>
      </c>
      <c r="D28" s="17">
        <v>12</v>
      </c>
    </row>
    <row r="29" spans="1:4" ht="11.25" customHeight="1" x14ac:dyDescent="0.2">
      <c r="A29" s="18"/>
      <c r="B29" s="15"/>
      <c r="C29" s="16"/>
      <c r="D29" s="17"/>
    </row>
    <row r="30" spans="1:4" ht="11.25" customHeight="1" x14ac:dyDescent="0.2">
      <c r="A30" s="13">
        <v>3</v>
      </c>
      <c r="B30" s="14" t="s">
        <v>155</v>
      </c>
      <c r="C30" s="9"/>
      <c r="D30" s="12"/>
    </row>
    <row r="31" spans="1:4" ht="11.25" customHeight="1" x14ac:dyDescent="0.2">
      <c r="A31" s="26" t="s">
        <v>66</v>
      </c>
      <c r="B31" s="15" t="s">
        <v>154</v>
      </c>
      <c r="C31" s="16" t="s">
        <v>42</v>
      </c>
      <c r="D31" s="17">
        <v>3</v>
      </c>
    </row>
    <row r="32" spans="1:4" ht="11.25" customHeight="1" x14ac:dyDescent="0.2">
      <c r="A32" s="26" t="s">
        <v>67</v>
      </c>
      <c r="B32" s="15" t="s">
        <v>153</v>
      </c>
      <c r="C32" s="16" t="s">
        <v>42</v>
      </c>
      <c r="D32" s="17">
        <v>17</v>
      </c>
    </row>
    <row r="33" spans="1:4" ht="11.25" customHeight="1" x14ac:dyDescent="0.2">
      <c r="A33" s="26" t="s">
        <v>68</v>
      </c>
      <c r="B33" s="15" t="s">
        <v>163</v>
      </c>
      <c r="C33" s="16" t="s">
        <v>38</v>
      </c>
      <c r="D33" s="17">
        <v>14.74</v>
      </c>
    </row>
    <row r="34" spans="1:4" ht="11.25" customHeight="1" x14ac:dyDescent="0.2">
      <c r="A34" s="26" t="s">
        <v>69</v>
      </c>
      <c r="B34" s="15" t="s">
        <v>166</v>
      </c>
      <c r="C34" s="16" t="s">
        <v>38</v>
      </c>
      <c r="D34" s="17">
        <f>3.8*3.88</f>
        <v>14.744</v>
      </c>
    </row>
    <row r="35" spans="1:4" ht="11.25" customHeight="1" x14ac:dyDescent="0.2">
      <c r="A35" s="26" t="s">
        <v>70</v>
      </c>
      <c r="B35" s="15" t="s">
        <v>167</v>
      </c>
      <c r="C35" s="16" t="s">
        <v>38</v>
      </c>
      <c r="D35" s="17">
        <v>0</v>
      </c>
    </row>
    <row r="36" spans="1:4" ht="11.25" customHeight="1" x14ac:dyDescent="0.2">
      <c r="A36" s="26" t="s">
        <v>71</v>
      </c>
      <c r="B36" s="15" t="s">
        <v>168</v>
      </c>
      <c r="C36" s="16" t="s">
        <v>38</v>
      </c>
      <c r="D36" s="17">
        <v>0</v>
      </c>
    </row>
    <row r="37" spans="1:4" ht="11.25" customHeight="1" x14ac:dyDescent="0.2">
      <c r="A37" s="26" t="s">
        <v>72</v>
      </c>
      <c r="B37" s="15" t="s">
        <v>164</v>
      </c>
      <c r="C37" s="16" t="s">
        <v>41</v>
      </c>
      <c r="D37" s="17">
        <v>25.33</v>
      </c>
    </row>
    <row r="38" spans="1:4" ht="11.25" customHeight="1" x14ac:dyDescent="0.2">
      <c r="A38" s="26" t="s">
        <v>73</v>
      </c>
      <c r="B38" s="15" t="s">
        <v>165</v>
      </c>
      <c r="C38" s="16" t="s">
        <v>41</v>
      </c>
      <c r="D38" s="54">
        <f>10.7+11.02+4.37</f>
        <v>26.09</v>
      </c>
    </row>
    <row r="39" spans="1:4" ht="11.25" customHeight="1" x14ac:dyDescent="0.2">
      <c r="A39" s="26" t="s">
        <v>173</v>
      </c>
      <c r="B39" s="15" t="s">
        <v>169</v>
      </c>
      <c r="C39" s="16" t="s">
        <v>41</v>
      </c>
      <c r="D39" s="17">
        <v>37.78</v>
      </c>
    </row>
    <row r="40" spans="1:4" ht="11.25" customHeight="1" x14ac:dyDescent="0.2">
      <c r="A40" s="26" t="s">
        <v>174</v>
      </c>
      <c r="B40" s="15" t="s">
        <v>483</v>
      </c>
      <c r="C40" s="16" t="s">
        <v>41</v>
      </c>
      <c r="D40" s="17">
        <f>(D37+D38+D39)*1.4</f>
        <v>124.88</v>
      </c>
    </row>
    <row r="41" spans="1:4" ht="11.25" customHeight="1" x14ac:dyDescent="0.2">
      <c r="A41" s="26" t="s">
        <v>175</v>
      </c>
      <c r="B41" s="15" t="s">
        <v>170</v>
      </c>
      <c r="C41" s="16" t="s">
        <v>171</v>
      </c>
      <c r="D41" s="17">
        <f>ROUND((D40/5),0)</f>
        <v>25</v>
      </c>
    </row>
    <row r="42" spans="1:4" ht="11.25" customHeight="1" x14ac:dyDescent="0.2">
      <c r="A42" s="23"/>
      <c r="B42" s="15"/>
      <c r="C42" s="16"/>
      <c r="D42" s="22"/>
    </row>
    <row r="43" spans="1:4" ht="11.25" customHeight="1" x14ac:dyDescent="0.2">
      <c r="A43" s="13">
        <v>4</v>
      </c>
      <c r="B43" s="14" t="s">
        <v>33</v>
      </c>
      <c r="C43" s="9"/>
      <c r="D43" s="12"/>
    </row>
    <row r="44" spans="1:4" ht="11.25" customHeight="1" x14ac:dyDescent="0.2">
      <c r="A44" s="26" t="s">
        <v>409</v>
      </c>
      <c r="B44" s="18" t="s">
        <v>406</v>
      </c>
      <c r="C44" s="16" t="s">
        <v>414</v>
      </c>
      <c r="D44" s="17">
        <v>0</v>
      </c>
    </row>
    <row r="45" spans="1:4" ht="11.25" customHeight="1" x14ac:dyDescent="0.2">
      <c r="A45" s="26" t="s">
        <v>410</v>
      </c>
      <c r="B45" s="24" t="s">
        <v>484</v>
      </c>
      <c r="C45" s="16" t="s">
        <v>414</v>
      </c>
      <c r="D45" s="17">
        <v>202.5</v>
      </c>
    </row>
    <row r="46" spans="1:4" ht="11.25" customHeight="1" x14ac:dyDescent="0.2">
      <c r="A46" s="26" t="s">
        <v>411</v>
      </c>
      <c r="B46" s="24" t="s">
        <v>485</v>
      </c>
      <c r="C46" s="16" t="s">
        <v>414</v>
      </c>
      <c r="D46" s="17">
        <v>30.22</v>
      </c>
    </row>
    <row r="47" spans="1:4" ht="11.25" customHeight="1" x14ac:dyDescent="0.2">
      <c r="A47" s="26" t="s">
        <v>412</v>
      </c>
      <c r="B47" s="24" t="s">
        <v>407</v>
      </c>
      <c r="C47" s="16" t="s">
        <v>414</v>
      </c>
      <c r="D47" s="17">
        <v>150.74</v>
      </c>
    </row>
    <row r="48" spans="1:4" ht="11.25" customHeight="1" x14ac:dyDescent="0.2">
      <c r="A48" s="26" t="s">
        <v>413</v>
      </c>
      <c r="B48" s="24" t="s">
        <v>408</v>
      </c>
      <c r="C48" s="16" t="s">
        <v>414</v>
      </c>
      <c r="D48" s="17">
        <v>54.06</v>
      </c>
    </row>
    <row r="49" spans="1:4" ht="11.25" customHeight="1" x14ac:dyDescent="0.2">
      <c r="A49" s="26" t="s">
        <v>524</v>
      </c>
      <c r="B49" s="18" t="s">
        <v>531</v>
      </c>
      <c r="C49" s="16" t="s">
        <v>171</v>
      </c>
      <c r="D49" s="17">
        <f>ROUND((((D45+D47+D46+D48)*1.2)/5),0)</f>
        <v>105</v>
      </c>
    </row>
    <row r="50" spans="1:4" ht="11.25" customHeight="1" x14ac:dyDescent="0.2">
      <c r="A50" s="23"/>
      <c r="B50" s="15"/>
      <c r="C50" s="16"/>
      <c r="D50" s="22"/>
    </row>
    <row r="51" spans="1:4" ht="11.25" customHeight="1" x14ac:dyDescent="0.2">
      <c r="A51" s="13">
        <v>5</v>
      </c>
      <c r="B51" s="14" t="s">
        <v>43</v>
      </c>
      <c r="C51" s="9"/>
      <c r="D51" s="12"/>
    </row>
    <row r="52" spans="1:4" ht="11.25" customHeight="1" x14ac:dyDescent="0.2">
      <c r="A52" s="23" t="s">
        <v>431</v>
      </c>
      <c r="B52" s="18" t="s">
        <v>525</v>
      </c>
      <c r="C52" s="16" t="s">
        <v>41</v>
      </c>
      <c r="D52" s="17">
        <v>0</v>
      </c>
    </row>
    <row r="53" spans="1:4" ht="11.25" customHeight="1" x14ac:dyDescent="0.2">
      <c r="A53" s="23" t="s">
        <v>432</v>
      </c>
      <c r="B53" s="18" t="s">
        <v>526</v>
      </c>
      <c r="C53" s="16" t="s">
        <v>41</v>
      </c>
      <c r="D53" s="17">
        <v>8.52</v>
      </c>
    </row>
    <row r="54" spans="1:4" ht="11.25" customHeight="1" x14ac:dyDescent="0.2">
      <c r="A54" s="23" t="s">
        <v>433</v>
      </c>
      <c r="B54" s="24" t="s">
        <v>415</v>
      </c>
      <c r="C54" s="16" t="s">
        <v>39</v>
      </c>
      <c r="D54" s="17">
        <v>1</v>
      </c>
    </row>
    <row r="55" spans="1:4" ht="11.25" customHeight="1" x14ac:dyDescent="0.2">
      <c r="A55" s="23" t="s">
        <v>434</v>
      </c>
      <c r="B55" s="18" t="s">
        <v>416</v>
      </c>
      <c r="C55" s="33" t="s">
        <v>42</v>
      </c>
      <c r="D55" s="17">
        <v>49</v>
      </c>
    </row>
    <row r="56" spans="1:4" ht="11.25" customHeight="1" x14ac:dyDescent="0.2">
      <c r="A56" s="23" t="s">
        <v>435</v>
      </c>
      <c r="B56" s="18" t="s">
        <v>417</v>
      </c>
      <c r="C56" s="16" t="s">
        <v>42</v>
      </c>
      <c r="D56" s="17">
        <v>49</v>
      </c>
    </row>
    <row r="57" spans="1:4" ht="11.25" customHeight="1" x14ac:dyDescent="0.2">
      <c r="A57" s="23" t="s">
        <v>436</v>
      </c>
      <c r="B57" s="18" t="s">
        <v>418</v>
      </c>
      <c r="C57" s="16" t="s">
        <v>41</v>
      </c>
      <c r="D57" s="17">
        <v>197.44</v>
      </c>
    </row>
    <row r="58" spans="1:4" ht="11.25" customHeight="1" x14ac:dyDescent="0.2">
      <c r="A58" s="23" t="s">
        <v>437</v>
      </c>
      <c r="B58" s="18" t="s">
        <v>419</v>
      </c>
      <c r="C58" s="16" t="s">
        <v>41</v>
      </c>
      <c r="D58" s="17">
        <v>90.58</v>
      </c>
    </row>
    <row r="59" spans="1:4" ht="11.25" customHeight="1" x14ac:dyDescent="0.2">
      <c r="A59" s="23" t="s">
        <v>438</v>
      </c>
      <c r="B59" s="18" t="s">
        <v>420</v>
      </c>
      <c r="C59" s="16" t="s">
        <v>41</v>
      </c>
      <c r="D59" s="17">
        <v>11.25</v>
      </c>
    </row>
    <row r="60" spans="1:4" ht="11.25" customHeight="1" x14ac:dyDescent="0.2">
      <c r="A60" s="23" t="s">
        <v>439</v>
      </c>
      <c r="B60" s="24" t="s">
        <v>533</v>
      </c>
      <c r="C60" s="16" t="s">
        <v>41</v>
      </c>
      <c r="D60" s="17">
        <v>0</v>
      </c>
    </row>
    <row r="61" spans="1:4" ht="11.25" customHeight="1" x14ac:dyDescent="0.2">
      <c r="A61" s="23" t="s">
        <v>440</v>
      </c>
      <c r="B61" s="18" t="s">
        <v>492</v>
      </c>
      <c r="C61" s="16" t="s">
        <v>41</v>
      </c>
      <c r="D61" s="17">
        <v>0</v>
      </c>
    </row>
    <row r="62" spans="1:4" ht="11.25" customHeight="1" x14ac:dyDescent="0.2">
      <c r="A62" s="23" t="s">
        <v>441</v>
      </c>
      <c r="B62" s="18" t="s">
        <v>421</v>
      </c>
      <c r="C62" s="16" t="s">
        <v>41</v>
      </c>
      <c r="D62" s="17">
        <v>44.72</v>
      </c>
    </row>
    <row r="63" spans="1:4" ht="11.25" customHeight="1" x14ac:dyDescent="0.2">
      <c r="A63" s="23" t="s">
        <v>442</v>
      </c>
      <c r="B63" s="18" t="s">
        <v>422</v>
      </c>
      <c r="C63" s="16" t="s">
        <v>41</v>
      </c>
      <c r="D63" s="17">
        <v>18.829999999999998</v>
      </c>
    </row>
    <row r="64" spans="1:4" ht="11.25" customHeight="1" x14ac:dyDescent="0.2">
      <c r="A64" s="23" t="s">
        <v>443</v>
      </c>
      <c r="B64" s="18" t="s">
        <v>486</v>
      </c>
      <c r="C64" s="16" t="s">
        <v>41</v>
      </c>
      <c r="D64" s="17">
        <v>2.27</v>
      </c>
    </row>
    <row r="65" spans="1:4" ht="11.25" customHeight="1" x14ac:dyDescent="0.2">
      <c r="A65" s="23" t="s">
        <v>444</v>
      </c>
      <c r="B65" s="18" t="s">
        <v>423</v>
      </c>
      <c r="C65" s="16" t="s">
        <v>41</v>
      </c>
      <c r="D65" s="17">
        <v>125.85</v>
      </c>
    </row>
    <row r="66" spans="1:4" ht="11.25" customHeight="1" x14ac:dyDescent="0.2">
      <c r="A66" s="23" t="s">
        <v>445</v>
      </c>
      <c r="B66" s="18" t="s">
        <v>424</v>
      </c>
      <c r="C66" s="16" t="s">
        <v>41</v>
      </c>
      <c r="D66" s="17">
        <v>80.12</v>
      </c>
    </row>
    <row r="67" spans="1:4" ht="11.25" customHeight="1" x14ac:dyDescent="0.2">
      <c r="A67" s="23" t="s">
        <v>446</v>
      </c>
      <c r="B67" s="18" t="s">
        <v>425</v>
      </c>
      <c r="C67" s="16" t="s">
        <v>41</v>
      </c>
      <c r="D67" s="17">
        <v>245</v>
      </c>
    </row>
    <row r="68" spans="1:4" ht="11.25" hidden="1" customHeight="1" outlineLevel="1" x14ac:dyDescent="0.2">
      <c r="A68" s="23"/>
      <c r="B68" s="18" t="s">
        <v>652</v>
      </c>
      <c r="C68" s="16" t="s">
        <v>42</v>
      </c>
      <c r="D68" s="17"/>
    </row>
    <row r="69" spans="1:4" ht="11.25" customHeight="1" collapsed="1" x14ac:dyDescent="0.2">
      <c r="A69" s="23" t="s">
        <v>447</v>
      </c>
      <c r="B69" s="18" t="s">
        <v>426</v>
      </c>
      <c r="C69" s="16" t="s">
        <v>41</v>
      </c>
      <c r="D69" s="17">
        <v>156.63</v>
      </c>
    </row>
    <row r="70" spans="1:4" ht="11.25" customHeight="1" x14ac:dyDescent="0.2">
      <c r="A70" s="23" t="s">
        <v>448</v>
      </c>
      <c r="B70" s="18" t="s">
        <v>427</v>
      </c>
      <c r="C70" s="16" t="s">
        <v>41</v>
      </c>
      <c r="D70" s="17">
        <v>18.18</v>
      </c>
    </row>
    <row r="71" spans="1:4" ht="11.25" customHeight="1" x14ac:dyDescent="0.2">
      <c r="A71" s="23" t="s">
        <v>449</v>
      </c>
      <c r="B71" s="18" t="s">
        <v>493</v>
      </c>
      <c r="C71" s="16" t="s">
        <v>41</v>
      </c>
      <c r="D71" s="17">
        <v>44.89</v>
      </c>
    </row>
    <row r="72" spans="1:4" ht="11.25" customHeight="1" x14ac:dyDescent="0.2">
      <c r="A72" s="23" t="s">
        <v>450</v>
      </c>
      <c r="B72" s="18" t="s">
        <v>428</v>
      </c>
      <c r="C72" s="16" t="s">
        <v>41</v>
      </c>
      <c r="D72" s="17">
        <v>9.8699999999999992</v>
      </c>
    </row>
    <row r="73" spans="1:4" ht="11.25" customHeight="1" x14ac:dyDescent="0.2">
      <c r="A73" s="26" t="s">
        <v>451</v>
      </c>
      <c r="B73" s="18" t="s">
        <v>854</v>
      </c>
      <c r="C73" s="16" t="s">
        <v>38</v>
      </c>
      <c r="D73" s="17">
        <v>32.409999999999997</v>
      </c>
    </row>
    <row r="74" spans="1:4" ht="11.25" customHeight="1" x14ac:dyDescent="0.2">
      <c r="A74" s="23" t="s">
        <v>452</v>
      </c>
      <c r="B74" s="18" t="s">
        <v>429</v>
      </c>
      <c r="C74" s="16" t="s">
        <v>41</v>
      </c>
      <c r="D74" s="17">
        <v>1.86</v>
      </c>
    </row>
    <row r="75" spans="1:4" ht="11.25" customHeight="1" x14ac:dyDescent="0.2">
      <c r="A75" s="23" t="s">
        <v>532</v>
      </c>
      <c r="B75" s="18" t="s">
        <v>430</v>
      </c>
      <c r="C75" s="16" t="s">
        <v>41</v>
      </c>
      <c r="D75" s="17">
        <v>3.84</v>
      </c>
    </row>
    <row r="76" spans="1:4" ht="11.25" customHeight="1" x14ac:dyDescent="0.2">
      <c r="A76" s="48"/>
      <c r="B76" s="49"/>
      <c r="C76" s="16"/>
      <c r="D76" s="17"/>
    </row>
    <row r="77" spans="1:4" ht="11.25" customHeight="1" x14ac:dyDescent="0.2">
      <c r="A77" s="13">
        <v>6</v>
      </c>
      <c r="B77" s="14" t="s">
        <v>44</v>
      </c>
      <c r="C77" s="9"/>
      <c r="D77" s="12"/>
    </row>
    <row r="78" spans="1:4" ht="11.25" customHeight="1" x14ac:dyDescent="0.2">
      <c r="A78" s="23" t="s">
        <v>0</v>
      </c>
      <c r="B78" s="24" t="s">
        <v>453</v>
      </c>
      <c r="C78" s="16" t="s">
        <v>41</v>
      </c>
      <c r="D78" s="17">
        <f>9.39+5.8625</f>
        <v>15.252500000000001</v>
      </c>
    </row>
    <row r="79" spans="1:4" ht="11.25" customHeight="1" x14ac:dyDescent="0.2">
      <c r="A79" s="26" t="s">
        <v>1</v>
      </c>
      <c r="B79" s="18" t="s">
        <v>693</v>
      </c>
      <c r="C79" s="16" t="s">
        <v>40</v>
      </c>
      <c r="D79" s="17">
        <f>545.59+1.37+12.31</f>
        <v>559.27</v>
      </c>
    </row>
    <row r="80" spans="1:4" ht="11.25" customHeight="1" x14ac:dyDescent="0.2">
      <c r="A80" s="26" t="s">
        <v>2</v>
      </c>
      <c r="B80" s="18" t="s">
        <v>692</v>
      </c>
      <c r="C80" s="16" t="s">
        <v>38</v>
      </c>
      <c r="D80" s="17">
        <f>1361.85+3.44+45.86</f>
        <v>1411.1499999999999</v>
      </c>
    </row>
    <row r="81" spans="1:4" ht="11.25" customHeight="1" x14ac:dyDescent="0.2">
      <c r="A81" s="26" t="s">
        <v>3</v>
      </c>
      <c r="B81" s="18" t="s">
        <v>494</v>
      </c>
      <c r="C81" s="16" t="s">
        <v>40</v>
      </c>
      <c r="D81" s="54">
        <f>1030.94+20.9+1.94</f>
        <v>1053.7800000000002</v>
      </c>
    </row>
    <row r="82" spans="1:4" ht="11.25" customHeight="1" x14ac:dyDescent="0.2">
      <c r="A82" s="26" t="s">
        <v>19</v>
      </c>
      <c r="B82" s="18" t="s">
        <v>454</v>
      </c>
      <c r="C82" s="16" t="s">
        <v>38</v>
      </c>
      <c r="D82" s="54">
        <f>2693.7+53.93+1.64</f>
        <v>2749.2699999999995</v>
      </c>
    </row>
    <row r="83" spans="1:4" ht="11.25" customHeight="1" x14ac:dyDescent="0.2">
      <c r="A83" s="26" t="s">
        <v>460</v>
      </c>
      <c r="B83" s="18" t="s">
        <v>490</v>
      </c>
      <c r="C83" s="16" t="s">
        <v>40</v>
      </c>
      <c r="D83" s="17">
        <f>177.52+1.72</f>
        <v>179.24</v>
      </c>
    </row>
    <row r="84" spans="1:4" ht="11.25" customHeight="1" x14ac:dyDescent="0.2">
      <c r="A84" s="26" t="s">
        <v>461</v>
      </c>
      <c r="B84" s="18" t="s">
        <v>455</v>
      </c>
      <c r="C84" s="16" t="s">
        <v>38</v>
      </c>
      <c r="D84" s="17">
        <f>560.1+11.86</f>
        <v>571.96</v>
      </c>
    </row>
    <row r="85" spans="1:4" ht="11.25" customHeight="1" x14ac:dyDescent="0.2">
      <c r="A85" s="23" t="s">
        <v>462</v>
      </c>
      <c r="B85" s="18" t="s">
        <v>456</v>
      </c>
      <c r="C85" s="16" t="s">
        <v>40</v>
      </c>
      <c r="D85" s="17">
        <f>131.82+0.2</f>
        <v>132.01999999999998</v>
      </c>
    </row>
    <row r="86" spans="1:4" ht="11.25" customHeight="1" x14ac:dyDescent="0.2">
      <c r="A86" s="23" t="s">
        <v>463</v>
      </c>
      <c r="B86" s="18" t="s">
        <v>457</v>
      </c>
      <c r="C86" s="16" t="s">
        <v>40</v>
      </c>
      <c r="D86" s="17">
        <f>557.67+662.26+24.19</f>
        <v>1244.1199999999999</v>
      </c>
    </row>
    <row r="87" spans="1:4" ht="11.25" customHeight="1" x14ac:dyDescent="0.2">
      <c r="A87" s="23" t="s">
        <v>464</v>
      </c>
      <c r="B87" s="18" t="s">
        <v>458</v>
      </c>
      <c r="C87" s="16" t="s">
        <v>40</v>
      </c>
      <c r="D87" s="22">
        <v>0</v>
      </c>
    </row>
    <row r="88" spans="1:4" ht="11.25" customHeight="1" x14ac:dyDescent="0.2">
      <c r="A88" s="23" t="s">
        <v>465</v>
      </c>
      <c r="B88" s="18" t="s">
        <v>459</v>
      </c>
      <c r="C88" s="16" t="s">
        <v>40</v>
      </c>
      <c r="D88" s="22">
        <v>0</v>
      </c>
    </row>
    <row r="89" spans="1:4" ht="11.25" customHeight="1" x14ac:dyDescent="0.2">
      <c r="A89" s="23" t="s">
        <v>466</v>
      </c>
      <c r="B89" s="18" t="s">
        <v>503</v>
      </c>
      <c r="C89" s="16" t="s">
        <v>41</v>
      </c>
      <c r="D89" s="17">
        <v>228.31</v>
      </c>
    </row>
    <row r="90" spans="1:4" ht="11.25" customHeight="1" x14ac:dyDescent="0.2">
      <c r="A90" s="23" t="s">
        <v>467</v>
      </c>
      <c r="B90" s="15" t="s">
        <v>53</v>
      </c>
      <c r="C90" s="16" t="s">
        <v>42</v>
      </c>
      <c r="D90" s="22">
        <v>4</v>
      </c>
    </row>
    <row r="91" spans="1:4" ht="11.25" customHeight="1" x14ac:dyDescent="0.2">
      <c r="A91" s="23" t="s">
        <v>468</v>
      </c>
      <c r="B91" s="31" t="s">
        <v>666</v>
      </c>
      <c r="C91" s="16" t="s">
        <v>39</v>
      </c>
      <c r="D91" s="18"/>
    </row>
    <row r="92" spans="1:4" ht="11.25" hidden="1" customHeight="1" outlineLevel="1" x14ac:dyDescent="0.2">
      <c r="A92" s="23"/>
      <c r="B92" s="52" t="s">
        <v>694</v>
      </c>
      <c r="C92" s="16" t="s">
        <v>42</v>
      </c>
      <c r="D92" s="17">
        <v>1</v>
      </c>
    </row>
    <row r="93" spans="1:4" ht="11.25" hidden="1" customHeight="1" outlineLevel="1" x14ac:dyDescent="0.2">
      <c r="A93" s="23"/>
      <c r="B93" s="52" t="s">
        <v>695</v>
      </c>
      <c r="C93" s="16" t="s">
        <v>42</v>
      </c>
      <c r="D93" s="17">
        <v>1</v>
      </c>
    </row>
    <row r="94" spans="1:4" ht="11.25" hidden="1" customHeight="1" outlineLevel="1" x14ac:dyDescent="0.2">
      <c r="A94" s="23"/>
      <c r="B94" s="52" t="s">
        <v>696</v>
      </c>
      <c r="C94" s="16" t="s">
        <v>42</v>
      </c>
      <c r="D94" s="17">
        <v>0</v>
      </c>
    </row>
    <row r="95" spans="1:4" ht="11.25" customHeight="1" collapsed="1" x14ac:dyDescent="0.2">
      <c r="A95" s="23" t="s">
        <v>469</v>
      </c>
      <c r="B95" s="18" t="s">
        <v>653</v>
      </c>
      <c r="C95" s="16" t="s">
        <v>38</v>
      </c>
      <c r="D95" s="18">
        <v>77.239999999999995</v>
      </c>
    </row>
    <row r="96" spans="1:4" ht="11.25" customHeight="1" x14ac:dyDescent="0.2">
      <c r="A96" s="23" t="s">
        <v>755</v>
      </c>
      <c r="B96" s="18" t="s">
        <v>851</v>
      </c>
      <c r="C96" s="16" t="s">
        <v>38</v>
      </c>
      <c r="D96" s="22">
        <v>11.21</v>
      </c>
    </row>
    <row r="97" spans="1:4" ht="11.25" customHeight="1" x14ac:dyDescent="0.2">
      <c r="A97" s="48"/>
      <c r="B97" s="49"/>
      <c r="C97" s="50"/>
      <c r="D97" s="17"/>
    </row>
    <row r="98" spans="1:4" ht="11.25" customHeight="1" x14ac:dyDescent="0.2">
      <c r="A98" s="13">
        <v>7</v>
      </c>
      <c r="B98" s="14" t="s">
        <v>46</v>
      </c>
      <c r="C98" s="9"/>
      <c r="D98" s="12"/>
    </row>
    <row r="99" spans="1:4" ht="11.25" customHeight="1" x14ac:dyDescent="0.2">
      <c r="A99" s="26" t="s">
        <v>74</v>
      </c>
      <c r="B99" s="15" t="s">
        <v>47</v>
      </c>
      <c r="C99" s="34" t="s">
        <v>38</v>
      </c>
      <c r="D99" s="17">
        <v>48.41</v>
      </c>
    </row>
    <row r="100" spans="1:4" ht="11.25" customHeight="1" x14ac:dyDescent="0.2">
      <c r="A100" s="26" t="s">
        <v>75</v>
      </c>
      <c r="B100" s="15" t="s">
        <v>48</v>
      </c>
      <c r="C100" s="34" t="s">
        <v>38</v>
      </c>
      <c r="D100" s="17">
        <v>46.66</v>
      </c>
    </row>
    <row r="101" spans="1:4" ht="11.25" customHeight="1" x14ac:dyDescent="0.2">
      <c r="A101" s="26" t="s">
        <v>76</v>
      </c>
      <c r="B101" s="15" t="s">
        <v>189</v>
      </c>
      <c r="C101" s="34" t="s">
        <v>38</v>
      </c>
      <c r="D101" s="54">
        <f>1272.06+2.72</f>
        <v>1274.78</v>
      </c>
    </row>
    <row r="102" spans="1:4" ht="11.25" customHeight="1" x14ac:dyDescent="0.2">
      <c r="A102" s="26" t="s">
        <v>77</v>
      </c>
      <c r="B102" s="25" t="s">
        <v>504</v>
      </c>
      <c r="C102" s="34" t="s">
        <v>38</v>
      </c>
      <c r="D102" s="17">
        <v>159.57</v>
      </c>
    </row>
    <row r="103" spans="1:4" ht="11.25" customHeight="1" x14ac:dyDescent="0.2">
      <c r="A103" s="26" t="s">
        <v>78</v>
      </c>
      <c r="B103" s="25" t="s">
        <v>190</v>
      </c>
      <c r="C103" s="34" t="s">
        <v>38</v>
      </c>
      <c r="D103" s="17">
        <v>189.87</v>
      </c>
    </row>
    <row r="104" spans="1:4" ht="11.25" customHeight="1" x14ac:dyDescent="0.2">
      <c r="A104" s="26"/>
      <c r="B104" s="15"/>
      <c r="C104" s="16"/>
      <c r="D104" s="18"/>
    </row>
    <row r="105" spans="1:4" ht="11.25" customHeight="1" x14ac:dyDescent="0.2">
      <c r="A105" s="13">
        <v>8</v>
      </c>
      <c r="B105" s="14" t="s">
        <v>50</v>
      </c>
      <c r="C105" s="9"/>
      <c r="D105" s="12"/>
    </row>
    <row r="106" spans="1:4" ht="11.25" customHeight="1" x14ac:dyDescent="0.2">
      <c r="A106" s="26" t="s">
        <v>13</v>
      </c>
      <c r="B106" s="18" t="s">
        <v>773</v>
      </c>
      <c r="C106" s="34" t="s">
        <v>41</v>
      </c>
      <c r="D106" s="17">
        <f>9.06+10.13</f>
        <v>19.190000000000001</v>
      </c>
    </row>
    <row r="107" spans="1:4" ht="11.25" customHeight="1" x14ac:dyDescent="0.2">
      <c r="A107" s="26" t="s">
        <v>14</v>
      </c>
      <c r="B107" s="18" t="s">
        <v>774</v>
      </c>
      <c r="C107" s="34" t="s">
        <v>41</v>
      </c>
      <c r="D107" s="17">
        <f>2.15+146.43</f>
        <v>148.58000000000001</v>
      </c>
    </row>
    <row r="108" spans="1:4" ht="11.25" customHeight="1" x14ac:dyDescent="0.2">
      <c r="A108" s="23" t="s">
        <v>15</v>
      </c>
      <c r="B108" s="24" t="s">
        <v>491</v>
      </c>
      <c r="C108" s="34" t="s">
        <v>41</v>
      </c>
      <c r="D108" s="22">
        <v>0</v>
      </c>
    </row>
    <row r="109" spans="1:4" ht="11.25" customHeight="1" x14ac:dyDescent="0.2">
      <c r="A109" s="23" t="s">
        <v>16</v>
      </c>
      <c r="B109" s="18" t="s">
        <v>749</v>
      </c>
      <c r="C109" s="34" t="s">
        <v>41</v>
      </c>
      <c r="D109" s="22">
        <v>6.8860000000000001</v>
      </c>
    </row>
    <row r="110" spans="1:4" ht="11.25" customHeight="1" x14ac:dyDescent="0.2">
      <c r="A110" s="23" t="s">
        <v>17</v>
      </c>
      <c r="B110" s="18" t="s">
        <v>750</v>
      </c>
      <c r="C110" s="34" t="s">
        <v>41</v>
      </c>
      <c r="D110" s="22">
        <v>5.0599999999999996</v>
      </c>
    </row>
    <row r="111" spans="1:4" ht="11.25" customHeight="1" x14ac:dyDescent="0.2">
      <c r="A111" s="23" t="s">
        <v>18</v>
      </c>
      <c r="B111" s="18" t="s">
        <v>751</v>
      </c>
      <c r="C111" s="34" t="s">
        <v>41</v>
      </c>
      <c r="D111" s="22">
        <v>4.3479999999999999</v>
      </c>
    </row>
    <row r="112" spans="1:4" ht="11.25" customHeight="1" x14ac:dyDescent="0.2">
      <c r="A112" s="26"/>
      <c r="B112" s="15"/>
      <c r="C112" s="16"/>
      <c r="D112" s="17"/>
    </row>
    <row r="113" spans="1:4" ht="11.25" customHeight="1" x14ac:dyDescent="0.2">
      <c r="A113" s="13">
        <v>9</v>
      </c>
      <c r="B113" s="14" t="s">
        <v>49</v>
      </c>
      <c r="C113" s="9"/>
      <c r="D113" s="12"/>
    </row>
    <row r="114" spans="1:4" ht="11.25" customHeight="1" x14ac:dyDescent="0.2">
      <c r="A114" s="26" t="s">
        <v>79</v>
      </c>
      <c r="B114" s="15" t="s">
        <v>496</v>
      </c>
      <c r="C114" s="16" t="s">
        <v>38</v>
      </c>
      <c r="D114" s="17">
        <v>1429.99</v>
      </c>
    </row>
    <row r="115" spans="1:4" ht="11.25" customHeight="1" x14ac:dyDescent="0.2">
      <c r="A115" s="26" t="s">
        <v>80</v>
      </c>
      <c r="B115" s="25" t="s">
        <v>497</v>
      </c>
      <c r="C115" s="35" t="s">
        <v>38</v>
      </c>
      <c r="D115" s="17">
        <v>138.96</v>
      </c>
    </row>
    <row r="116" spans="1:4" ht="11.25" customHeight="1" x14ac:dyDescent="0.2">
      <c r="A116" s="26" t="s">
        <v>81</v>
      </c>
      <c r="B116" s="15" t="s">
        <v>498</v>
      </c>
      <c r="C116" s="16" t="s">
        <v>38</v>
      </c>
      <c r="D116" s="22">
        <v>3</v>
      </c>
    </row>
    <row r="117" spans="1:4" ht="11.25" customHeight="1" x14ac:dyDescent="0.2">
      <c r="A117" s="26" t="s">
        <v>143</v>
      </c>
      <c r="B117" s="15" t="s">
        <v>657</v>
      </c>
      <c r="C117" s="16" t="s">
        <v>38</v>
      </c>
      <c r="D117" s="22">
        <v>2.98</v>
      </c>
    </row>
    <row r="118" spans="1:4" ht="11.25" customHeight="1" x14ac:dyDescent="0.2">
      <c r="A118" s="26" t="s">
        <v>176</v>
      </c>
      <c r="B118" s="15" t="s">
        <v>509</v>
      </c>
      <c r="C118" s="16" t="s">
        <v>38</v>
      </c>
      <c r="D118" s="17">
        <v>149.38</v>
      </c>
    </row>
    <row r="119" spans="1:4" ht="11.25" customHeight="1" x14ac:dyDescent="0.2">
      <c r="A119" s="26" t="s">
        <v>177</v>
      </c>
      <c r="B119" s="15" t="s">
        <v>654</v>
      </c>
      <c r="C119" s="16" t="s">
        <v>38</v>
      </c>
      <c r="D119" s="17">
        <v>179.24</v>
      </c>
    </row>
    <row r="120" spans="1:4" ht="11.25" customHeight="1" x14ac:dyDescent="0.2">
      <c r="A120" s="26" t="s">
        <v>178</v>
      </c>
      <c r="B120" s="15" t="s">
        <v>194</v>
      </c>
      <c r="C120" s="16" t="s">
        <v>38</v>
      </c>
      <c r="D120" s="54">
        <v>4229.84</v>
      </c>
    </row>
    <row r="121" spans="1:4" ht="11.25" customHeight="1" x14ac:dyDescent="0.2">
      <c r="A121" s="26" t="s">
        <v>179</v>
      </c>
      <c r="B121" s="25" t="s">
        <v>505</v>
      </c>
      <c r="C121" s="16" t="s">
        <v>42</v>
      </c>
      <c r="D121" s="17">
        <v>571</v>
      </c>
    </row>
    <row r="122" spans="1:4" ht="11.25" customHeight="1" x14ac:dyDescent="0.2">
      <c r="A122" s="26" t="s">
        <v>180</v>
      </c>
      <c r="B122" s="27" t="s">
        <v>195</v>
      </c>
      <c r="C122" s="16" t="s">
        <v>40</v>
      </c>
      <c r="D122" s="17">
        <v>203.21</v>
      </c>
    </row>
    <row r="123" spans="1:4" ht="11.25" customHeight="1" x14ac:dyDescent="0.2">
      <c r="A123" s="26" t="s">
        <v>181</v>
      </c>
      <c r="B123" s="27" t="s">
        <v>196</v>
      </c>
      <c r="C123" s="16" t="s">
        <v>40</v>
      </c>
      <c r="D123" s="17">
        <v>319.54000000000002</v>
      </c>
    </row>
    <row r="124" spans="1:4" ht="11.25" customHeight="1" x14ac:dyDescent="0.2">
      <c r="A124" s="26" t="s">
        <v>182</v>
      </c>
      <c r="B124" s="27" t="s">
        <v>197</v>
      </c>
      <c r="C124" s="16" t="s">
        <v>40</v>
      </c>
      <c r="D124" s="17">
        <v>0</v>
      </c>
    </row>
    <row r="125" spans="1:4" ht="11.25" customHeight="1" x14ac:dyDescent="0.2">
      <c r="A125" s="26" t="s">
        <v>183</v>
      </c>
      <c r="B125" s="15" t="s">
        <v>191</v>
      </c>
      <c r="C125" s="16" t="s">
        <v>38</v>
      </c>
      <c r="D125" s="17">
        <v>2770.11</v>
      </c>
    </row>
    <row r="126" spans="1:4" ht="11.25" customHeight="1" x14ac:dyDescent="0.2">
      <c r="A126" s="26" t="s">
        <v>184</v>
      </c>
      <c r="B126" s="15" t="s">
        <v>512</v>
      </c>
      <c r="C126" s="16" t="s">
        <v>40</v>
      </c>
      <c r="D126" s="17">
        <v>51.05</v>
      </c>
    </row>
    <row r="127" spans="1:4" ht="11.25" customHeight="1" x14ac:dyDescent="0.2">
      <c r="A127" s="26" t="s">
        <v>508</v>
      </c>
      <c r="B127" s="15" t="s">
        <v>192</v>
      </c>
      <c r="C127" s="16" t="s">
        <v>40</v>
      </c>
      <c r="D127" s="17">
        <v>253.27</v>
      </c>
    </row>
    <row r="128" spans="1:4" ht="11.25" customHeight="1" x14ac:dyDescent="0.2">
      <c r="A128" s="26" t="s">
        <v>510</v>
      </c>
      <c r="B128" s="15" t="s">
        <v>193</v>
      </c>
      <c r="C128" s="16" t="s">
        <v>40</v>
      </c>
      <c r="D128" s="39">
        <v>662.59</v>
      </c>
    </row>
    <row r="129" spans="1:4" ht="11.25" customHeight="1" x14ac:dyDescent="0.2">
      <c r="A129" s="26" t="s">
        <v>511</v>
      </c>
      <c r="B129" s="15" t="s">
        <v>514</v>
      </c>
      <c r="C129" s="16" t="s">
        <v>38</v>
      </c>
      <c r="D129" s="17">
        <v>2994.33</v>
      </c>
    </row>
    <row r="130" spans="1:4" ht="11.25" customHeight="1" x14ac:dyDescent="0.2">
      <c r="A130" s="26" t="s">
        <v>655</v>
      </c>
      <c r="B130" s="25" t="s">
        <v>506</v>
      </c>
      <c r="C130" s="16" t="s">
        <v>38</v>
      </c>
      <c r="D130" s="22">
        <v>257.52</v>
      </c>
    </row>
    <row r="131" spans="1:4" ht="11.25" customHeight="1" x14ac:dyDescent="0.2">
      <c r="A131" s="26" t="s">
        <v>656</v>
      </c>
      <c r="B131" s="15" t="s">
        <v>507</v>
      </c>
      <c r="C131" s="16" t="s">
        <v>38</v>
      </c>
      <c r="D131" s="22">
        <v>211.24</v>
      </c>
    </row>
    <row r="132" spans="1:4" ht="11.25" customHeight="1" x14ac:dyDescent="0.2">
      <c r="A132" s="18"/>
      <c r="B132" s="15"/>
      <c r="C132" s="16"/>
      <c r="D132" s="18"/>
    </row>
    <row r="133" spans="1:4" ht="11.25" customHeight="1" x14ac:dyDescent="0.2">
      <c r="A133" s="11">
        <v>10</v>
      </c>
      <c r="B133" s="14" t="s">
        <v>157</v>
      </c>
      <c r="C133" s="9"/>
      <c r="D133" s="12"/>
    </row>
    <row r="134" spans="1:4" ht="11.25" customHeight="1" x14ac:dyDescent="0.2">
      <c r="A134" s="36" t="s">
        <v>82</v>
      </c>
      <c r="B134" s="37" t="s">
        <v>299</v>
      </c>
      <c r="C134" s="16"/>
      <c r="D134" s="18"/>
    </row>
    <row r="135" spans="1:4" ht="11.25" customHeight="1" x14ac:dyDescent="0.2">
      <c r="A135" s="26" t="s">
        <v>293</v>
      </c>
      <c r="B135" s="15" t="s">
        <v>292</v>
      </c>
      <c r="C135" s="16" t="s">
        <v>42</v>
      </c>
      <c r="D135" s="17">
        <v>0</v>
      </c>
    </row>
    <row r="136" spans="1:4" ht="11.25" customHeight="1" x14ac:dyDescent="0.2">
      <c r="A136" s="26" t="s">
        <v>294</v>
      </c>
      <c r="B136" s="15" t="s">
        <v>290</v>
      </c>
      <c r="C136" s="16" t="s">
        <v>42</v>
      </c>
      <c r="D136" s="17">
        <v>0</v>
      </c>
    </row>
    <row r="137" spans="1:4" ht="11.25" customHeight="1" x14ac:dyDescent="0.2">
      <c r="A137" s="26" t="s">
        <v>295</v>
      </c>
      <c r="B137" s="15" t="s">
        <v>291</v>
      </c>
      <c r="C137" s="16" t="s">
        <v>42</v>
      </c>
      <c r="D137" s="17">
        <v>0</v>
      </c>
    </row>
    <row r="138" spans="1:4" ht="11.25" customHeight="1" x14ac:dyDescent="0.2">
      <c r="A138" s="26" t="s">
        <v>296</v>
      </c>
      <c r="B138" s="15" t="s">
        <v>297</v>
      </c>
      <c r="C138" s="16" t="s">
        <v>39</v>
      </c>
      <c r="D138" s="17">
        <v>0</v>
      </c>
    </row>
    <row r="139" spans="1:4" ht="11.25" customHeight="1" x14ac:dyDescent="0.2">
      <c r="A139" s="26" t="s">
        <v>302</v>
      </c>
      <c r="B139" s="15" t="s">
        <v>300</v>
      </c>
      <c r="C139" s="16" t="s">
        <v>39</v>
      </c>
      <c r="D139" s="17">
        <v>0</v>
      </c>
    </row>
    <row r="140" spans="1:4" ht="11.25" customHeight="1" x14ac:dyDescent="0.2">
      <c r="A140" s="26" t="s">
        <v>303</v>
      </c>
      <c r="B140" s="15" t="s">
        <v>301</v>
      </c>
      <c r="C140" s="16" t="s">
        <v>39</v>
      </c>
      <c r="D140" s="17">
        <v>0</v>
      </c>
    </row>
    <row r="141" spans="1:4" ht="11.25" customHeight="1" x14ac:dyDescent="0.2">
      <c r="A141" s="26" t="s">
        <v>330</v>
      </c>
      <c r="B141" s="4" t="s">
        <v>611</v>
      </c>
      <c r="C141" s="16" t="s">
        <v>39</v>
      </c>
      <c r="D141" s="17">
        <v>0</v>
      </c>
    </row>
    <row r="142" spans="1:4" ht="11.25" hidden="1" customHeight="1" outlineLevel="1" x14ac:dyDescent="0.2">
      <c r="A142" s="26"/>
      <c r="B142" s="15" t="s">
        <v>612</v>
      </c>
      <c r="C142" s="16" t="s">
        <v>42</v>
      </c>
      <c r="D142" s="54">
        <v>57</v>
      </c>
    </row>
    <row r="143" spans="1:4" ht="11.25" hidden="1" customHeight="1" outlineLevel="1" x14ac:dyDescent="0.2">
      <c r="A143" s="26"/>
      <c r="B143" s="15" t="s">
        <v>613</v>
      </c>
      <c r="C143" s="16" t="s">
        <v>42</v>
      </c>
      <c r="D143" s="17">
        <v>0</v>
      </c>
    </row>
    <row r="144" spans="1:4" ht="11.25" hidden="1" customHeight="1" outlineLevel="1" x14ac:dyDescent="0.2">
      <c r="A144" s="26"/>
      <c r="B144" s="15" t="s">
        <v>614</v>
      </c>
      <c r="C144" s="16" t="s">
        <v>42</v>
      </c>
      <c r="D144" s="17">
        <v>39</v>
      </c>
    </row>
    <row r="145" spans="1:4" ht="11.25" hidden="1" customHeight="1" outlineLevel="1" x14ac:dyDescent="0.2">
      <c r="A145" s="26"/>
      <c r="B145" s="15" t="s">
        <v>615</v>
      </c>
      <c r="C145" s="16" t="s">
        <v>42</v>
      </c>
      <c r="D145" s="17">
        <v>2</v>
      </c>
    </row>
    <row r="146" spans="1:4" ht="11.25" hidden="1" customHeight="1" outlineLevel="1" x14ac:dyDescent="0.2">
      <c r="A146" s="26"/>
      <c r="B146" s="15" t="s">
        <v>616</v>
      </c>
      <c r="C146" s="16" t="s">
        <v>42</v>
      </c>
      <c r="D146" s="17">
        <v>0</v>
      </c>
    </row>
    <row r="147" spans="1:4" ht="11.25" hidden="1" customHeight="1" outlineLevel="1" x14ac:dyDescent="0.2">
      <c r="A147" s="26"/>
      <c r="B147" s="15" t="s">
        <v>617</v>
      </c>
      <c r="C147" s="16" t="s">
        <v>42</v>
      </c>
      <c r="D147" s="54">
        <v>56</v>
      </c>
    </row>
    <row r="148" spans="1:4" ht="11.25" customHeight="1" collapsed="1" x14ac:dyDescent="0.2">
      <c r="A148" s="26" t="s">
        <v>331</v>
      </c>
      <c r="B148" s="15" t="s">
        <v>329</v>
      </c>
      <c r="C148" s="16" t="s">
        <v>39</v>
      </c>
      <c r="D148" s="17">
        <v>0</v>
      </c>
    </row>
    <row r="149" spans="1:4" ht="11.25" hidden="1" customHeight="1" outlineLevel="1" x14ac:dyDescent="0.2">
      <c r="A149" s="26"/>
      <c r="B149" s="15" t="s">
        <v>618</v>
      </c>
      <c r="C149" s="16" t="s">
        <v>42</v>
      </c>
      <c r="D149" s="17">
        <v>18</v>
      </c>
    </row>
    <row r="150" spans="1:4" ht="11.25" hidden="1" customHeight="1" outlineLevel="1" x14ac:dyDescent="0.2">
      <c r="A150" s="26"/>
      <c r="B150" s="15" t="s">
        <v>619</v>
      </c>
      <c r="C150" s="16" t="s">
        <v>42</v>
      </c>
      <c r="D150" s="17">
        <v>0</v>
      </c>
    </row>
    <row r="151" spans="1:4" ht="11.25" hidden="1" customHeight="1" outlineLevel="1" x14ac:dyDescent="0.2">
      <c r="A151" s="26"/>
      <c r="B151" s="15" t="s">
        <v>678</v>
      </c>
      <c r="C151" s="16" t="s">
        <v>42</v>
      </c>
      <c r="D151" s="17">
        <v>0</v>
      </c>
    </row>
    <row r="152" spans="1:4" ht="11.25" hidden="1" customHeight="1" outlineLevel="1" x14ac:dyDescent="0.2">
      <c r="A152" s="26"/>
      <c r="B152" s="15" t="s">
        <v>620</v>
      </c>
      <c r="C152" s="16" t="s">
        <v>42</v>
      </c>
      <c r="D152" s="17">
        <v>18</v>
      </c>
    </row>
    <row r="153" spans="1:4" ht="11.25" customHeight="1" collapsed="1" x14ac:dyDescent="0.2">
      <c r="A153" s="36" t="s">
        <v>83</v>
      </c>
      <c r="B153" s="37" t="s">
        <v>308</v>
      </c>
      <c r="C153" s="16"/>
      <c r="D153" s="17"/>
    </row>
    <row r="154" spans="1:4" ht="11.25" customHeight="1" x14ac:dyDescent="0.2">
      <c r="A154" s="26" t="s">
        <v>309</v>
      </c>
      <c r="B154" s="15" t="s">
        <v>304</v>
      </c>
      <c r="C154" s="16" t="s">
        <v>39</v>
      </c>
      <c r="D154" s="17">
        <v>0</v>
      </c>
    </row>
    <row r="155" spans="1:4" ht="11.25" customHeight="1" x14ac:dyDescent="0.2">
      <c r="A155" s="26" t="s">
        <v>310</v>
      </c>
      <c r="B155" s="15" t="s">
        <v>339</v>
      </c>
      <c r="C155" s="16" t="s">
        <v>39</v>
      </c>
      <c r="D155" s="17">
        <v>0</v>
      </c>
    </row>
    <row r="156" spans="1:4" ht="11.25" customHeight="1" x14ac:dyDescent="0.2">
      <c r="A156" s="26" t="s">
        <v>311</v>
      </c>
      <c r="B156" s="15" t="s">
        <v>305</v>
      </c>
      <c r="C156" s="16" t="s">
        <v>39</v>
      </c>
      <c r="D156" s="17">
        <v>0</v>
      </c>
    </row>
    <row r="157" spans="1:4" ht="11.25" customHeight="1" x14ac:dyDescent="0.2">
      <c r="A157" s="26" t="s">
        <v>312</v>
      </c>
      <c r="B157" s="15" t="s">
        <v>306</v>
      </c>
      <c r="C157" s="16" t="s">
        <v>42</v>
      </c>
      <c r="D157" s="17">
        <v>0</v>
      </c>
    </row>
    <row r="158" spans="1:4" ht="11.25" customHeight="1" x14ac:dyDescent="0.2">
      <c r="A158" s="26" t="s">
        <v>313</v>
      </c>
      <c r="B158" s="15" t="s">
        <v>307</v>
      </c>
      <c r="C158" s="16" t="s">
        <v>39</v>
      </c>
      <c r="D158" s="17">
        <v>0</v>
      </c>
    </row>
    <row r="159" spans="1:4" ht="11.25" customHeight="1" x14ac:dyDescent="0.2">
      <c r="A159" s="26" t="s">
        <v>315</v>
      </c>
      <c r="B159" s="15" t="s">
        <v>314</v>
      </c>
      <c r="C159" s="16" t="s">
        <v>42</v>
      </c>
      <c r="D159" s="17">
        <v>0</v>
      </c>
    </row>
    <row r="160" spans="1:4" ht="11.25" customHeight="1" x14ac:dyDescent="0.2">
      <c r="A160" s="36" t="s">
        <v>84</v>
      </c>
      <c r="B160" s="37" t="s">
        <v>287</v>
      </c>
      <c r="C160" s="16"/>
      <c r="D160" s="17"/>
    </row>
    <row r="161" spans="1:4" ht="11.25" customHeight="1" x14ac:dyDescent="0.2">
      <c r="A161" s="26" t="s">
        <v>317</v>
      </c>
      <c r="B161" s="15" t="s">
        <v>521</v>
      </c>
      <c r="C161" s="16" t="s">
        <v>39</v>
      </c>
      <c r="D161" s="17">
        <v>0</v>
      </c>
    </row>
    <row r="162" spans="1:4" ht="11.25" customHeight="1" x14ac:dyDescent="0.2">
      <c r="A162" s="26" t="s">
        <v>318</v>
      </c>
      <c r="B162" s="31" t="s">
        <v>488</v>
      </c>
      <c r="C162" s="16" t="s">
        <v>39</v>
      </c>
      <c r="D162" s="17">
        <v>0</v>
      </c>
    </row>
    <row r="163" spans="1:4" ht="11.25" customHeight="1" x14ac:dyDescent="0.2">
      <c r="A163" s="26" t="s">
        <v>319</v>
      </c>
      <c r="B163" s="15" t="s">
        <v>316</v>
      </c>
      <c r="C163" s="16" t="s">
        <v>39</v>
      </c>
      <c r="D163" s="17">
        <v>0</v>
      </c>
    </row>
    <row r="164" spans="1:4" ht="11.25" customHeight="1" x14ac:dyDescent="0.2">
      <c r="A164" s="26" t="s">
        <v>320</v>
      </c>
      <c r="B164" s="15" t="s">
        <v>326</v>
      </c>
      <c r="C164" s="16" t="s">
        <v>39</v>
      </c>
      <c r="D164" s="17">
        <v>0</v>
      </c>
    </row>
    <row r="165" spans="1:4" ht="11.25" customHeight="1" x14ac:dyDescent="0.2">
      <c r="A165" s="26" t="s">
        <v>323</v>
      </c>
      <c r="B165" s="15" t="s">
        <v>321</v>
      </c>
      <c r="C165" s="16" t="s">
        <v>39</v>
      </c>
      <c r="D165" s="17">
        <v>0</v>
      </c>
    </row>
    <row r="166" spans="1:4" ht="11.25" customHeight="1" x14ac:dyDescent="0.2">
      <c r="A166" s="26" t="s">
        <v>324</v>
      </c>
      <c r="B166" s="15" t="s">
        <v>852</v>
      </c>
      <c r="C166" s="16" t="s">
        <v>39</v>
      </c>
      <c r="D166" s="17">
        <v>1</v>
      </c>
    </row>
    <row r="167" spans="1:4" ht="11.25" hidden="1" customHeight="1" outlineLevel="1" x14ac:dyDescent="0.2">
      <c r="A167" s="26"/>
      <c r="B167" s="15" t="s">
        <v>684</v>
      </c>
      <c r="C167" s="16" t="s">
        <v>42</v>
      </c>
      <c r="D167" s="17">
        <v>17</v>
      </c>
    </row>
    <row r="168" spans="1:4" ht="11.25" hidden="1" customHeight="1" outlineLevel="1" x14ac:dyDescent="0.2">
      <c r="A168" s="26"/>
      <c r="B168" s="15" t="s">
        <v>685</v>
      </c>
      <c r="C168" s="16" t="s">
        <v>42</v>
      </c>
      <c r="D168" s="17">
        <v>1</v>
      </c>
    </row>
    <row r="169" spans="1:4" ht="11.25" customHeight="1" collapsed="1" x14ac:dyDescent="0.2">
      <c r="A169" s="26" t="s">
        <v>325</v>
      </c>
      <c r="B169" s="15" t="s">
        <v>322</v>
      </c>
      <c r="C169" s="16" t="s">
        <v>42</v>
      </c>
      <c r="D169" s="17">
        <v>0</v>
      </c>
    </row>
    <row r="170" spans="1:4" ht="11.25" customHeight="1" x14ac:dyDescent="0.2">
      <c r="A170" s="26" t="s">
        <v>328</v>
      </c>
      <c r="B170" s="15" t="s">
        <v>327</v>
      </c>
      <c r="C170" s="16" t="s">
        <v>39</v>
      </c>
      <c r="D170" s="17">
        <v>0</v>
      </c>
    </row>
    <row r="171" spans="1:4" ht="11.25" customHeight="1" x14ac:dyDescent="0.2">
      <c r="A171" s="36" t="s">
        <v>85</v>
      </c>
      <c r="B171" s="37" t="s">
        <v>621</v>
      </c>
      <c r="C171" s="16"/>
      <c r="D171" s="17"/>
    </row>
    <row r="172" spans="1:4" ht="11.25" customHeight="1" x14ac:dyDescent="0.2">
      <c r="A172" s="26" t="s">
        <v>335</v>
      </c>
      <c r="B172" s="15" t="s">
        <v>622</v>
      </c>
      <c r="C172" s="16" t="s">
        <v>39</v>
      </c>
      <c r="D172" s="17">
        <v>0</v>
      </c>
    </row>
    <row r="173" spans="1:4" ht="11.25" hidden="1" customHeight="1" outlineLevel="1" x14ac:dyDescent="0.2">
      <c r="A173" s="26"/>
      <c r="B173" s="15" t="s">
        <v>686</v>
      </c>
      <c r="C173" s="16" t="s">
        <v>42</v>
      </c>
      <c r="D173" s="17">
        <v>4</v>
      </c>
    </row>
    <row r="174" spans="1:4" ht="11.25" hidden="1" customHeight="1" outlineLevel="1" x14ac:dyDescent="0.2">
      <c r="A174" s="26"/>
      <c r="B174" s="15" t="s">
        <v>687</v>
      </c>
      <c r="C174" s="16" t="s">
        <v>42</v>
      </c>
      <c r="D174" s="17">
        <v>37</v>
      </c>
    </row>
    <row r="175" spans="1:4" ht="11.25" hidden="1" customHeight="1" outlineLevel="1" x14ac:dyDescent="0.2">
      <c r="A175" s="26"/>
      <c r="B175" s="15" t="s">
        <v>784</v>
      </c>
      <c r="C175" s="16" t="s">
        <v>42</v>
      </c>
      <c r="D175" s="17">
        <v>1</v>
      </c>
    </row>
    <row r="176" spans="1:4" ht="11.25" hidden="1" customHeight="1" outlineLevel="1" x14ac:dyDescent="0.2">
      <c r="A176" s="26"/>
      <c r="B176" s="15" t="s">
        <v>688</v>
      </c>
      <c r="C176" s="16" t="s">
        <v>42</v>
      </c>
      <c r="D176" s="17">
        <v>39</v>
      </c>
    </row>
    <row r="177" spans="1:4" ht="11.25" hidden="1" customHeight="1" outlineLevel="1" x14ac:dyDescent="0.2">
      <c r="A177" s="26"/>
      <c r="B177" s="15" t="s">
        <v>659</v>
      </c>
      <c r="C177" s="16" t="s">
        <v>42</v>
      </c>
      <c r="D177" s="54">
        <v>56</v>
      </c>
    </row>
    <row r="178" spans="1:4" ht="11.25" hidden="1" customHeight="1" outlineLevel="1" x14ac:dyDescent="0.2">
      <c r="A178" s="26"/>
      <c r="B178" s="15" t="s">
        <v>623</v>
      </c>
      <c r="C178" s="16" t="s">
        <v>42</v>
      </c>
      <c r="D178" s="17">
        <v>2</v>
      </c>
    </row>
    <row r="179" spans="1:4" ht="11.25" hidden="1" customHeight="1" outlineLevel="1" x14ac:dyDescent="0.2">
      <c r="A179" s="26"/>
      <c r="B179" s="15" t="s">
        <v>689</v>
      </c>
      <c r="C179" s="16" t="s">
        <v>42</v>
      </c>
      <c r="D179" s="17">
        <v>18</v>
      </c>
    </row>
    <row r="180" spans="1:4" ht="11.25" hidden="1" customHeight="1" outlineLevel="1" x14ac:dyDescent="0.2">
      <c r="A180" s="26"/>
      <c r="B180" s="15" t="s">
        <v>690</v>
      </c>
      <c r="C180" s="16" t="s">
        <v>42</v>
      </c>
      <c r="D180" s="17">
        <v>0</v>
      </c>
    </row>
    <row r="181" spans="1:4" ht="11.25" hidden="1" customHeight="1" outlineLevel="1" x14ac:dyDescent="0.2">
      <c r="A181" s="26"/>
      <c r="B181" s="15" t="s">
        <v>624</v>
      </c>
      <c r="C181" s="16" t="s">
        <v>42</v>
      </c>
      <c r="D181" s="17">
        <v>0</v>
      </c>
    </row>
    <row r="182" spans="1:4" ht="11.25" hidden="1" customHeight="1" outlineLevel="1" x14ac:dyDescent="0.2">
      <c r="A182" s="26"/>
      <c r="B182" s="15" t="s">
        <v>676</v>
      </c>
      <c r="C182" s="16" t="s">
        <v>42</v>
      </c>
      <c r="D182" s="17">
        <v>17</v>
      </c>
    </row>
    <row r="183" spans="1:4" ht="11.25" hidden="1" customHeight="1" outlineLevel="1" x14ac:dyDescent="0.2">
      <c r="A183" s="26"/>
      <c r="B183" s="15" t="s">
        <v>677</v>
      </c>
      <c r="C183" s="16" t="s">
        <v>42</v>
      </c>
      <c r="D183" s="17">
        <v>1</v>
      </c>
    </row>
    <row r="184" spans="1:4" ht="11.25" customHeight="1" collapsed="1" x14ac:dyDescent="0.2">
      <c r="A184" s="26" t="s">
        <v>336</v>
      </c>
      <c r="B184" s="15" t="s">
        <v>625</v>
      </c>
      <c r="C184" s="16" t="s">
        <v>39</v>
      </c>
      <c r="D184" s="17">
        <v>0</v>
      </c>
    </row>
    <row r="185" spans="1:4" ht="11.25" hidden="1" customHeight="1" outlineLevel="1" x14ac:dyDescent="0.2">
      <c r="A185" s="26"/>
      <c r="B185" s="15" t="s">
        <v>593</v>
      </c>
      <c r="C185" s="16" t="s">
        <v>42</v>
      </c>
      <c r="D185" s="17">
        <v>0</v>
      </c>
    </row>
    <row r="186" spans="1:4" ht="11.25" hidden="1" customHeight="1" outlineLevel="1" x14ac:dyDescent="0.2">
      <c r="A186" s="26"/>
      <c r="B186" s="15" t="s">
        <v>594</v>
      </c>
      <c r="C186" s="16" t="s">
        <v>42</v>
      </c>
      <c r="D186" s="17">
        <v>37</v>
      </c>
    </row>
    <row r="187" spans="1:4" ht="11.25" hidden="1" customHeight="1" outlineLevel="1" x14ac:dyDescent="0.2">
      <c r="A187" s="26"/>
      <c r="B187" s="15" t="s">
        <v>595</v>
      </c>
      <c r="C187" s="16" t="s">
        <v>42</v>
      </c>
      <c r="D187" s="17">
        <v>2</v>
      </c>
    </row>
    <row r="188" spans="1:4" ht="11.25" hidden="1" customHeight="1" outlineLevel="1" x14ac:dyDescent="0.2">
      <c r="A188" s="26"/>
      <c r="B188" s="15" t="s">
        <v>596</v>
      </c>
      <c r="C188" s="16" t="s">
        <v>42</v>
      </c>
      <c r="D188" s="54">
        <v>18</v>
      </c>
    </row>
    <row r="189" spans="1:4" ht="11.25" customHeight="1" collapsed="1" x14ac:dyDescent="0.2">
      <c r="A189" s="26" t="s">
        <v>337</v>
      </c>
      <c r="B189" s="15" t="s">
        <v>626</v>
      </c>
      <c r="C189" s="16" t="s">
        <v>39</v>
      </c>
      <c r="D189" s="17">
        <v>0</v>
      </c>
    </row>
    <row r="190" spans="1:4" ht="11.25" hidden="1" customHeight="1" outlineLevel="1" x14ac:dyDescent="0.2">
      <c r="A190" s="26"/>
      <c r="B190" s="15" t="s">
        <v>597</v>
      </c>
      <c r="C190" s="16" t="s">
        <v>42</v>
      </c>
      <c r="D190" s="17">
        <v>1</v>
      </c>
    </row>
    <row r="191" spans="1:4" ht="11.25" hidden="1" customHeight="1" outlineLevel="1" x14ac:dyDescent="0.2">
      <c r="A191" s="26"/>
      <c r="B191" s="15" t="s">
        <v>598</v>
      </c>
      <c r="C191" s="16" t="s">
        <v>42</v>
      </c>
      <c r="D191" s="17">
        <v>0</v>
      </c>
    </row>
    <row r="192" spans="1:4" ht="11.25" hidden="1" customHeight="1" outlineLevel="1" x14ac:dyDescent="0.2">
      <c r="A192" s="26"/>
      <c r="B192" s="15" t="s">
        <v>789</v>
      </c>
      <c r="C192" s="16" t="s">
        <v>42</v>
      </c>
      <c r="D192" s="17">
        <v>0</v>
      </c>
    </row>
    <row r="193" spans="1:4" ht="11.25" hidden="1" customHeight="1" outlineLevel="1" x14ac:dyDescent="0.2">
      <c r="A193" s="26"/>
      <c r="B193" s="15" t="s">
        <v>667</v>
      </c>
      <c r="C193" s="16" t="s">
        <v>42</v>
      </c>
      <c r="D193" s="17">
        <v>18</v>
      </c>
    </row>
    <row r="194" spans="1:4" ht="11.25" customHeight="1" collapsed="1" x14ac:dyDescent="0.2">
      <c r="A194" s="36" t="s">
        <v>86</v>
      </c>
      <c r="B194" s="37" t="s">
        <v>288</v>
      </c>
      <c r="C194" s="16"/>
      <c r="D194" s="17"/>
    </row>
    <row r="195" spans="1:4" ht="11.25" customHeight="1" x14ac:dyDescent="0.2">
      <c r="A195" s="26" t="s">
        <v>340</v>
      </c>
      <c r="B195" s="15" t="s">
        <v>487</v>
      </c>
      <c r="C195" s="16" t="s">
        <v>39</v>
      </c>
      <c r="D195" s="22">
        <v>0</v>
      </c>
    </row>
    <row r="196" spans="1:4" ht="11.25" customHeight="1" x14ac:dyDescent="0.2">
      <c r="A196" s="26" t="s">
        <v>342</v>
      </c>
      <c r="B196" s="15" t="s">
        <v>334</v>
      </c>
      <c r="C196" s="16" t="s">
        <v>39</v>
      </c>
      <c r="D196" s="22">
        <v>0</v>
      </c>
    </row>
    <row r="197" spans="1:4" ht="11.25" customHeight="1" x14ac:dyDescent="0.2">
      <c r="A197" s="26" t="s">
        <v>599</v>
      </c>
      <c r="B197" s="15" t="s">
        <v>332</v>
      </c>
      <c r="C197" s="16" t="s">
        <v>39</v>
      </c>
      <c r="D197" s="22">
        <v>0</v>
      </c>
    </row>
    <row r="198" spans="1:4" ht="11.25" hidden="1" customHeight="1" outlineLevel="1" x14ac:dyDescent="0.2">
      <c r="A198" s="26"/>
      <c r="B198" s="15" t="s">
        <v>691</v>
      </c>
      <c r="C198" s="16" t="s">
        <v>42</v>
      </c>
      <c r="D198" s="22">
        <v>14</v>
      </c>
    </row>
    <row r="199" spans="1:4" ht="11.25" customHeight="1" collapsed="1" x14ac:dyDescent="0.2">
      <c r="A199" s="26" t="s">
        <v>600</v>
      </c>
      <c r="B199" s="15" t="s">
        <v>333</v>
      </c>
      <c r="C199" s="16" t="s">
        <v>42</v>
      </c>
      <c r="D199" s="22">
        <v>0</v>
      </c>
    </row>
    <row r="200" spans="1:4" ht="11.25" customHeight="1" x14ac:dyDescent="0.2">
      <c r="A200" s="26" t="s">
        <v>601</v>
      </c>
      <c r="B200" s="15" t="s">
        <v>338</v>
      </c>
      <c r="C200" s="16" t="s">
        <v>39</v>
      </c>
      <c r="D200" s="22">
        <v>0</v>
      </c>
    </row>
    <row r="201" spans="1:4" ht="11.25" customHeight="1" x14ac:dyDescent="0.2">
      <c r="A201" s="26" t="s">
        <v>602</v>
      </c>
      <c r="B201" s="25" t="s">
        <v>139</v>
      </c>
      <c r="C201" s="16" t="s">
        <v>42</v>
      </c>
      <c r="D201" s="22">
        <v>0</v>
      </c>
    </row>
    <row r="202" spans="1:4" ht="11.25" customHeight="1" x14ac:dyDescent="0.2">
      <c r="A202" s="26" t="s">
        <v>603</v>
      </c>
      <c r="B202" s="25" t="s">
        <v>627</v>
      </c>
      <c r="C202" s="34" t="s">
        <v>39</v>
      </c>
      <c r="D202" s="22">
        <v>0</v>
      </c>
    </row>
    <row r="203" spans="1:4" ht="11.25" hidden="1" customHeight="1" outlineLevel="1" x14ac:dyDescent="0.2">
      <c r="A203" s="26"/>
      <c r="B203" s="25" t="s">
        <v>604</v>
      </c>
      <c r="C203" s="34" t="s">
        <v>42</v>
      </c>
      <c r="D203" s="22">
        <v>2</v>
      </c>
    </row>
    <row r="204" spans="1:4" ht="11.25" hidden="1" customHeight="1" outlineLevel="1" x14ac:dyDescent="0.2">
      <c r="A204" s="26"/>
      <c r="B204" s="25" t="s">
        <v>138</v>
      </c>
      <c r="C204" s="34" t="s">
        <v>42</v>
      </c>
      <c r="D204" s="22">
        <v>0</v>
      </c>
    </row>
    <row r="205" spans="1:4" ht="11.25" hidden="1" customHeight="1" outlineLevel="1" x14ac:dyDescent="0.2">
      <c r="A205" s="26"/>
      <c r="B205" s="25" t="s">
        <v>137</v>
      </c>
      <c r="C205" s="34" t="s">
        <v>42</v>
      </c>
      <c r="D205" s="22">
        <v>20</v>
      </c>
    </row>
    <row r="206" spans="1:4" ht="11.25" hidden="1" customHeight="1" outlineLevel="1" x14ac:dyDescent="0.2">
      <c r="A206" s="26"/>
      <c r="B206" s="25" t="s">
        <v>605</v>
      </c>
      <c r="C206" s="34" t="s">
        <v>42</v>
      </c>
      <c r="D206" s="22">
        <v>0</v>
      </c>
    </row>
    <row r="207" spans="1:4" ht="11.25" hidden="1" customHeight="1" outlineLevel="1" x14ac:dyDescent="0.2">
      <c r="A207" s="26"/>
      <c r="B207" s="25" t="s">
        <v>136</v>
      </c>
      <c r="C207" s="34" t="s">
        <v>42</v>
      </c>
      <c r="D207" s="22">
        <v>22</v>
      </c>
    </row>
    <row r="208" spans="1:4" ht="11.25" hidden="1" customHeight="1" outlineLevel="1" x14ac:dyDescent="0.2">
      <c r="A208" s="26"/>
      <c r="B208" s="25" t="s">
        <v>850</v>
      </c>
      <c r="C208" s="34" t="s">
        <v>42</v>
      </c>
      <c r="D208" s="22">
        <v>0</v>
      </c>
    </row>
    <row r="209" spans="1:4" ht="11.25" hidden="1" customHeight="1" outlineLevel="1" x14ac:dyDescent="0.2">
      <c r="A209" s="26"/>
      <c r="B209" s="25" t="s">
        <v>772</v>
      </c>
      <c r="C209" s="34" t="s">
        <v>42</v>
      </c>
      <c r="D209" s="22">
        <v>0</v>
      </c>
    </row>
    <row r="210" spans="1:4" ht="11.25" customHeight="1" collapsed="1" x14ac:dyDescent="0.2">
      <c r="A210" s="36" t="s">
        <v>606</v>
      </c>
      <c r="B210" s="37" t="s">
        <v>289</v>
      </c>
      <c r="C210" s="16"/>
      <c r="D210" s="17"/>
    </row>
    <row r="211" spans="1:4" ht="11.25" customHeight="1" x14ac:dyDescent="0.2">
      <c r="A211" s="26" t="s">
        <v>607</v>
      </c>
      <c r="B211" s="15" t="s">
        <v>341</v>
      </c>
      <c r="C211" s="16" t="s">
        <v>39</v>
      </c>
      <c r="D211" s="17">
        <v>0</v>
      </c>
    </row>
    <row r="212" spans="1:4" ht="11.25" customHeight="1" x14ac:dyDescent="0.2">
      <c r="A212" s="26" t="s">
        <v>608</v>
      </c>
      <c r="B212" s="15" t="s">
        <v>668</v>
      </c>
      <c r="C212" s="16" t="s">
        <v>39</v>
      </c>
      <c r="D212" s="17">
        <v>0</v>
      </c>
    </row>
    <row r="213" spans="1:4" ht="11.25" customHeight="1" x14ac:dyDescent="0.2">
      <c r="A213" s="18"/>
      <c r="B213" s="15"/>
      <c r="C213" s="16"/>
      <c r="D213" s="17"/>
    </row>
    <row r="214" spans="1:4" ht="11.25" customHeight="1" x14ac:dyDescent="0.2">
      <c r="A214" s="11">
        <v>11</v>
      </c>
      <c r="B214" s="14" t="s">
        <v>515</v>
      </c>
      <c r="C214" s="9"/>
      <c r="D214" s="12"/>
    </row>
    <row r="215" spans="1:4" ht="11.25" customHeight="1" x14ac:dyDescent="0.2">
      <c r="A215" s="26" t="s">
        <v>87</v>
      </c>
      <c r="B215" s="15" t="s">
        <v>558</v>
      </c>
      <c r="C215" s="16" t="s">
        <v>39</v>
      </c>
      <c r="D215" s="17">
        <v>1</v>
      </c>
    </row>
    <row r="216" spans="1:4" ht="11.25" customHeight="1" x14ac:dyDescent="0.2">
      <c r="A216" s="26" t="s">
        <v>88</v>
      </c>
      <c r="B216" s="15" t="s">
        <v>391</v>
      </c>
      <c r="C216" s="16" t="s">
        <v>39</v>
      </c>
      <c r="D216" s="17">
        <v>1</v>
      </c>
    </row>
    <row r="217" spans="1:4" ht="11.25" customHeight="1" x14ac:dyDescent="0.2">
      <c r="A217" s="26" t="s">
        <v>89</v>
      </c>
      <c r="B217" s="15" t="s">
        <v>559</v>
      </c>
      <c r="C217" s="16" t="s">
        <v>39</v>
      </c>
      <c r="D217" s="17">
        <v>1</v>
      </c>
    </row>
    <row r="218" spans="1:4" ht="11.25" customHeight="1" x14ac:dyDescent="0.2">
      <c r="A218" s="26" t="s">
        <v>90</v>
      </c>
      <c r="B218" s="15" t="s">
        <v>283</v>
      </c>
      <c r="C218" s="16" t="s">
        <v>39</v>
      </c>
      <c r="D218" s="17">
        <v>1</v>
      </c>
    </row>
    <row r="219" spans="1:4" ht="11.25" customHeight="1" x14ac:dyDescent="0.2">
      <c r="A219" s="26" t="s">
        <v>91</v>
      </c>
      <c r="B219" s="15" t="s">
        <v>156</v>
      </c>
      <c r="C219" s="16" t="s">
        <v>39</v>
      </c>
      <c r="D219" s="17">
        <v>1</v>
      </c>
    </row>
    <row r="220" spans="1:4" ht="11.25" customHeight="1" x14ac:dyDescent="0.2">
      <c r="A220" s="26" t="s">
        <v>92</v>
      </c>
      <c r="B220" s="15" t="s">
        <v>560</v>
      </c>
      <c r="C220" s="16" t="s">
        <v>39</v>
      </c>
      <c r="D220" s="17">
        <v>1</v>
      </c>
    </row>
    <row r="221" spans="1:4" ht="11.25" customHeight="1" x14ac:dyDescent="0.2">
      <c r="A221" s="26" t="s">
        <v>93</v>
      </c>
      <c r="B221" s="15" t="s">
        <v>561</v>
      </c>
      <c r="C221" s="16" t="s">
        <v>39</v>
      </c>
      <c r="D221" s="17">
        <v>1</v>
      </c>
    </row>
    <row r="222" spans="1:4" ht="11.25" customHeight="1" x14ac:dyDescent="0.2">
      <c r="A222" s="26" t="s">
        <v>135</v>
      </c>
      <c r="B222" s="15" t="s">
        <v>513</v>
      </c>
      <c r="C222" s="16" t="s">
        <v>39</v>
      </c>
      <c r="D222" s="17">
        <v>1</v>
      </c>
    </row>
    <row r="223" spans="1:4" ht="11.25" customHeight="1" x14ac:dyDescent="0.2">
      <c r="A223" s="26" t="s">
        <v>141</v>
      </c>
      <c r="B223" s="15" t="s">
        <v>393</v>
      </c>
      <c r="C223" s="16" t="s">
        <v>39</v>
      </c>
      <c r="D223" s="17">
        <v>1</v>
      </c>
    </row>
    <row r="224" spans="1:4" ht="11.25" customHeight="1" x14ac:dyDescent="0.2">
      <c r="A224" s="26" t="s">
        <v>562</v>
      </c>
      <c r="B224" s="15" t="s">
        <v>563</v>
      </c>
      <c r="C224" s="16" t="s">
        <v>39</v>
      </c>
      <c r="D224" s="17">
        <v>1</v>
      </c>
    </row>
    <row r="225" spans="1:4" ht="11.25" customHeight="1" x14ac:dyDescent="0.2">
      <c r="A225" s="26" t="s">
        <v>564</v>
      </c>
      <c r="B225" s="15" t="s">
        <v>628</v>
      </c>
      <c r="C225" s="16" t="s">
        <v>39</v>
      </c>
      <c r="D225" s="17">
        <v>1</v>
      </c>
    </row>
    <row r="226" spans="1:4" ht="11.25" hidden="1" customHeight="1" outlineLevel="1" x14ac:dyDescent="0.2">
      <c r="A226" s="26"/>
      <c r="B226" s="15" t="s">
        <v>394</v>
      </c>
      <c r="C226" s="16" t="s">
        <v>42</v>
      </c>
      <c r="D226" s="17">
        <v>115</v>
      </c>
    </row>
    <row r="227" spans="1:4" ht="11.25" hidden="1" customHeight="1" outlineLevel="1" x14ac:dyDescent="0.2">
      <c r="A227" s="26"/>
      <c r="B227" s="15" t="s">
        <v>609</v>
      </c>
      <c r="C227" s="16" t="s">
        <v>42</v>
      </c>
      <c r="D227" s="17">
        <v>51</v>
      </c>
    </row>
    <row r="228" spans="1:4" ht="11.25" hidden="1" customHeight="1" outlineLevel="1" x14ac:dyDescent="0.2">
      <c r="A228" s="26"/>
      <c r="B228" s="15" t="s">
        <v>610</v>
      </c>
      <c r="C228" s="16" t="s">
        <v>42</v>
      </c>
      <c r="D228" s="17">
        <v>35</v>
      </c>
    </row>
    <row r="229" spans="1:4" ht="11.25" hidden="1" customHeight="1" outlineLevel="1" x14ac:dyDescent="0.2">
      <c r="A229" s="26"/>
      <c r="B229" s="15" t="s">
        <v>395</v>
      </c>
      <c r="C229" s="16" t="s">
        <v>42</v>
      </c>
      <c r="D229" s="17">
        <v>684</v>
      </c>
    </row>
    <row r="230" spans="1:4" ht="11.25" hidden="1" customHeight="1" outlineLevel="1" x14ac:dyDescent="0.2">
      <c r="A230" s="26"/>
      <c r="B230" s="15" t="s">
        <v>396</v>
      </c>
      <c r="C230" s="16" t="s">
        <v>42</v>
      </c>
      <c r="D230" s="17">
        <v>0</v>
      </c>
    </row>
    <row r="231" spans="1:4" ht="11.25" hidden="1" customHeight="1" outlineLevel="1" x14ac:dyDescent="0.2">
      <c r="A231" s="26"/>
      <c r="B231" s="15" t="s">
        <v>397</v>
      </c>
      <c r="C231" s="16" t="s">
        <v>42</v>
      </c>
      <c r="D231" s="17">
        <v>3</v>
      </c>
    </row>
    <row r="232" spans="1:4" ht="11.25" hidden="1" customHeight="1" outlineLevel="1" x14ac:dyDescent="0.2">
      <c r="A232" s="26"/>
      <c r="B232" s="15" t="s">
        <v>589</v>
      </c>
      <c r="C232" s="16" t="s">
        <v>42</v>
      </c>
      <c r="D232" s="17">
        <v>21</v>
      </c>
    </row>
    <row r="233" spans="1:4" ht="11.25" hidden="1" customHeight="1" outlineLevel="1" x14ac:dyDescent="0.2">
      <c r="A233" s="26"/>
      <c r="B233" s="15" t="s">
        <v>771</v>
      </c>
      <c r="C233" s="16" t="s">
        <v>42</v>
      </c>
      <c r="D233" s="17">
        <v>1</v>
      </c>
    </row>
    <row r="234" spans="1:4" ht="11.25" customHeight="1" collapsed="1" x14ac:dyDescent="0.2">
      <c r="A234" s="26" t="s">
        <v>565</v>
      </c>
      <c r="B234" s="15" t="s">
        <v>566</v>
      </c>
      <c r="C234" s="16" t="s">
        <v>39</v>
      </c>
      <c r="D234" s="22">
        <v>1</v>
      </c>
    </row>
    <row r="235" spans="1:4" ht="11.25" customHeight="1" x14ac:dyDescent="0.2">
      <c r="A235" s="18"/>
      <c r="B235" s="15"/>
      <c r="C235" s="16"/>
      <c r="D235" s="17"/>
    </row>
    <row r="236" spans="1:4" ht="11.25" customHeight="1" x14ac:dyDescent="0.2">
      <c r="A236" s="11">
        <v>12</v>
      </c>
      <c r="B236" s="14" t="s">
        <v>516</v>
      </c>
      <c r="C236" s="9"/>
      <c r="D236" s="12"/>
    </row>
    <row r="237" spans="1:4" ht="11.25" customHeight="1" x14ac:dyDescent="0.2">
      <c r="A237" s="26" t="s">
        <v>95</v>
      </c>
      <c r="B237" s="15" t="s">
        <v>567</v>
      </c>
      <c r="C237" s="16" t="s">
        <v>298</v>
      </c>
      <c r="D237" s="22">
        <v>0</v>
      </c>
    </row>
    <row r="238" spans="1:4" ht="11.25" customHeight="1" x14ac:dyDescent="0.2">
      <c r="A238" s="26" t="s">
        <v>96</v>
      </c>
      <c r="B238" s="15" t="s">
        <v>568</v>
      </c>
      <c r="C238" s="16" t="s">
        <v>298</v>
      </c>
      <c r="D238" s="22">
        <v>0</v>
      </c>
    </row>
    <row r="239" spans="1:4" ht="11.25" customHeight="1" x14ac:dyDescent="0.2">
      <c r="A239" s="26" t="s">
        <v>97</v>
      </c>
      <c r="B239" s="15" t="s">
        <v>282</v>
      </c>
      <c r="C239" s="16" t="s">
        <v>39</v>
      </c>
      <c r="D239" s="22">
        <v>0</v>
      </c>
    </row>
    <row r="240" spans="1:4" ht="11.25" customHeight="1" x14ac:dyDescent="0.2">
      <c r="A240" s="26" t="s">
        <v>98</v>
      </c>
      <c r="B240" s="15" t="s">
        <v>392</v>
      </c>
      <c r="C240" s="16" t="s">
        <v>42</v>
      </c>
      <c r="D240" s="22">
        <v>0</v>
      </c>
    </row>
    <row r="241" spans="1:4" ht="11.25" customHeight="1" x14ac:dyDescent="0.2">
      <c r="A241" s="26" t="s">
        <v>99</v>
      </c>
      <c r="B241" s="15" t="s">
        <v>284</v>
      </c>
      <c r="C241" s="16" t="s">
        <v>39</v>
      </c>
      <c r="D241" s="22">
        <v>0</v>
      </c>
    </row>
    <row r="242" spans="1:4" ht="11.25" customHeight="1" x14ac:dyDescent="0.2">
      <c r="A242" s="26" t="s">
        <v>100</v>
      </c>
      <c r="B242" s="15" t="s">
        <v>286</v>
      </c>
      <c r="C242" s="16" t="s">
        <v>39</v>
      </c>
      <c r="D242" s="22">
        <v>0</v>
      </c>
    </row>
    <row r="243" spans="1:4" ht="11.25" customHeight="1" x14ac:dyDescent="0.2">
      <c r="A243" s="26" t="s">
        <v>101</v>
      </c>
      <c r="B243" s="25" t="s">
        <v>140</v>
      </c>
      <c r="C243" s="16" t="s">
        <v>42</v>
      </c>
      <c r="D243" s="22">
        <v>34</v>
      </c>
    </row>
    <row r="244" spans="1:4" ht="11.25" customHeight="1" x14ac:dyDescent="0.2">
      <c r="A244" s="26" t="s">
        <v>102</v>
      </c>
      <c r="B244" s="25" t="s">
        <v>658</v>
      </c>
      <c r="C244" s="16" t="s">
        <v>42</v>
      </c>
      <c r="D244" s="22">
        <v>32</v>
      </c>
    </row>
    <row r="245" spans="1:4" ht="11.25" customHeight="1" x14ac:dyDescent="0.2">
      <c r="A245" s="26" t="s">
        <v>103</v>
      </c>
      <c r="B245" s="25" t="s">
        <v>285</v>
      </c>
      <c r="C245" s="16" t="s">
        <v>39</v>
      </c>
      <c r="D245" s="22">
        <v>0</v>
      </c>
    </row>
    <row r="246" spans="1:4" ht="11.25" hidden="1" customHeight="1" outlineLevel="1" x14ac:dyDescent="0.2">
      <c r="A246" s="26"/>
      <c r="B246" s="25" t="s">
        <v>629</v>
      </c>
      <c r="C246" s="16" t="s">
        <v>42</v>
      </c>
      <c r="D246" s="22">
        <v>6</v>
      </c>
    </row>
    <row r="247" spans="1:4" ht="11.25" hidden="1" customHeight="1" outlineLevel="1" x14ac:dyDescent="0.2">
      <c r="A247" s="26"/>
      <c r="B247" s="25" t="s">
        <v>630</v>
      </c>
      <c r="C247" s="16" t="s">
        <v>42</v>
      </c>
      <c r="D247" s="22">
        <v>12</v>
      </c>
    </row>
    <row r="248" spans="1:4" ht="11.25" customHeight="1" collapsed="1" x14ac:dyDescent="0.2">
      <c r="A248" s="18"/>
      <c r="B248" s="15"/>
      <c r="C248" s="16"/>
      <c r="D248" s="22"/>
    </row>
    <row r="249" spans="1:4" ht="11.25" customHeight="1" x14ac:dyDescent="0.2">
      <c r="A249" s="11">
        <v>13</v>
      </c>
      <c r="B249" s="14" t="s">
        <v>188</v>
      </c>
      <c r="C249" s="9"/>
      <c r="D249" s="12"/>
    </row>
    <row r="250" spans="1:4" ht="11.25" customHeight="1" x14ac:dyDescent="0.2">
      <c r="A250" s="26" t="s">
        <v>104</v>
      </c>
      <c r="B250" s="15" t="s">
        <v>517</v>
      </c>
      <c r="C250" s="16" t="s">
        <v>42</v>
      </c>
      <c r="D250" s="17">
        <v>76</v>
      </c>
    </row>
    <row r="251" spans="1:4" ht="11.25" customHeight="1" x14ac:dyDescent="0.2">
      <c r="A251" s="26" t="s">
        <v>105</v>
      </c>
      <c r="B251" s="15" t="s">
        <v>499</v>
      </c>
      <c r="C251" s="16" t="s">
        <v>40</v>
      </c>
      <c r="D251" s="17">
        <v>0</v>
      </c>
    </row>
    <row r="252" spans="1:4" ht="11.25" customHeight="1" x14ac:dyDescent="0.2">
      <c r="A252" s="26" t="s">
        <v>106</v>
      </c>
      <c r="B252" s="15" t="s">
        <v>500</v>
      </c>
      <c r="C252" s="16" t="s">
        <v>40</v>
      </c>
      <c r="D252" s="17">
        <v>0</v>
      </c>
    </row>
    <row r="253" spans="1:4" ht="11.25" customHeight="1" x14ac:dyDescent="0.2">
      <c r="A253" s="26" t="s">
        <v>501</v>
      </c>
      <c r="B253" s="15" t="s">
        <v>198</v>
      </c>
      <c r="C253" s="16" t="s">
        <v>42</v>
      </c>
      <c r="D253" s="17">
        <v>0</v>
      </c>
    </row>
    <row r="254" spans="1:4" ht="11.25" customHeight="1" x14ac:dyDescent="0.2">
      <c r="A254" s="26" t="s">
        <v>502</v>
      </c>
      <c r="B254" s="15" t="s">
        <v>199</v>
      </c>
      <c r="C254" s="16" t="s">
        <v>42</v>
      </c>
      <c r="D254" s="17"/>
    </row>
    <row r="255" spans="1:4" ht="11.25" hidden="1" customHeight="1" outlineLevel="1" x14ac:dyDescent="0.2">
      <c r="A255" s="26"/>
      <c r="B255" s="15" t="s">
        <v>585</v>
      </c>
      <c r="C255" s="16" t="s">
        <v>42</v>
      </c>
      <c r="D255" s="17">
        <v>56</v>
      </c>
    </row>
    <row r="256" spans="1:4" ht="11.25" hidden="1" customHeight="1" outlineLevel="1" x14ac:dyDescent="0.2">
      <c r="A256" s="26"/>
      <c r="B256" s="15" t="s">
        <v>586</v>
      </c>
      <c r="C256" s="16" t="s">
        <v>42</v>
      </c>
      <c r="D256" s="17">
        <v>19</v>
      </c>
    </row>
    <row r="257" spans="1:4" ht="11.25" hidden="1" customHeight="1" outlineLevel="1" x14ac:dyDescent="0.2">
      <c r="A257" s="26"/>
      <c r="B257" s="15" t="s">
        <v>669</v>
      </c>
      <c r="C257" s="16" t="s">
        <v>42</v>
      </c>
      <c r="D257" s="17">
        <v>1</v>
      </c>
    </row>
    <row r="258" spans="1:4" ht="11.25" customHeight="1" collapsed="1" x14ac:dyDescent="0.2">
      <c r="A258" s="18"/>
      <c r="B258" s="15"/>
      <c r="C258" s="16"/>
      <c r="D258" s="22"/>
    </row>
    <row r="259" spans="1:4" ht="11.25" customHeight="1" x14ac:dyDescent="0.2">
      <c r="A259" s="13">
        <v>14</v>
      </c>
      <c r="B259" s="14" t="s">
        <v>94</v>
      </c>
      <c r="C259" s="9"/>
      <c r="D259" s="12"/>
    </row>
    <row r="260" spans="1:4" ht="11.25" customHeight="1" x14ac:dyDescent="0.2">
      <c r="A260" s="26" t="s">
        <v>20</v>
      </c>
      <c r="B260" s="15" t="s">
        <v>200</v>
      </c>
      <c r="C260" s="16" t="s">
        <v>38</v>
      </c>
      <c r="D260" s="17">
        <v>547.03</v>
      </c>
    </row>
    <row r="261" spans="1:4" ht="11.25" customHeight="1" x14ac:dyDescent="0.2">
      <c r="A261" s="26" t="s">
        <v>21</v>
      </c>
      <c r="B261" s="15" t="s">
        <v>201</v>
      </c>
      <c r="C261" s="16" t="s">
        <v>38</v>
      </c>
      <c r="D261" s="54">
        <v>2429.6799999999998</v>
      </c>
    </row>
    <row r="262" spans="1:4" ht="11.25" customHeight="1" x14ac:dyDescent="0.2">
      <c r="A262" s="26" t="s">
        <v>22</v>
      </c>
      <c r="B262" s="15" t="s">
        <v>202</v>
      </c>
      <c r="C262" s="16" t="s">
        <v>40</v>
      </c>
      <c r="D262" s="17">
        <v>110.79</v>
      </c>
    </row>
    <row r="263" spans="1:4" ht="11.25" customHeight="1" x14ac:dyDescent="0.2">
      <c r="A263" s="26" t="s">
        <v>23</v>
      </c>
      <c r="B263" s="15" t="s">
        <v>204</v>
      </c>
      <c r="C263" s="16" t="s">
        <v>40</v>
      </c>
      <c r="D263" s="17">
        <v>0</v>
      </c>
    </row>
    <row r="264" spans="1:4" ht="11.25" customHeight="1" x14ac:dyDescent="0.2">
      <c r="A264" s="26" t="s">
        <v>24</v>
      </c>
      <c r="B264" s="15" t="s">
        <v>203</v>
      </c>
      <c r="C264" s="16" t="s">
        <v>40</v>
      </c>
      <c r="D264" s="17">
        <v>2.77</v>
      </c>
    </row>
    <row r="265" spans="1:4" ht="11.25" customHeight="1" x14ac:dyDescent="0.2">
      <c r="A265" s="26" t="s">
        <v>107</v>
      </c>
      <c r="B265" s="15" t="s">
        <v>205</v>
      </c>
      <c r="C265" s="16" t="s">
        <v>40</v>
      </c>
      <c r="D265" s="17">
        <v>0</v>
      </c>
    </row>
    <row r="266" spans="1:4" ht="11.25" customHeight="1" x14ac:dyDescent="0.2">
      <c r="A266" s="26" t="s">
        <v>108</v>
      </c>
      <c r="B266" s="15" t="s">
        <v>670</v>
      </c>
      <c r="C266" s="16" t="s">
        <v>40</v>
      </c>
      <c r="D266" s="17">
        <v>283.16000000000003</v>
      </c>
    </row>
    <row r="267" spans="1:4" ht="11.25" customHeight="1" x14ac:dyDescent="0.2">
      <c r="A267" s="26" t="s">
        <v>109</v>
      </c>
      <c r="B267" s="15" t="s">
        <v>671</v>
      </c>
      <c r="C267" s="16" t="s">
        <v>40</v>
      </c>
      <c r="D267" s="54">
        <v>1717.98</v>
      </c>
    </row>
    <row r="268" spans="1:4" ht="11.25" customHeight="1" x14ac:dyDescent="0.2">
      <c r="A268" s="26" t="s">
        <v>705</v>
      </c>
      <c r="B268" s="15" t="s">
        <v>765</v>
      </c>
      <c r="C268" s="16" t="s">
        <v>38</v>
      </c>
      <c r="D268" s="17">
        <v>7.1</v>
      </c>
    </row>
    <row r="269" spans="1:4" ht="11.25" customHeight="1" x14ac:dyDescent="0.2">
      <c r="A269" s="18"/>
      <c r="B269" s="15"/>
      <c r="C269" s="16"/>
      <c r="D269" s="18"/>
    </row>
    <row r="270" spans="1:4" ht="11.25" customHeight="1" x14ac:dyDescent="0.2">
      <c r="A270" s="13">
        <v>15</v>
      </c>
      <c r="B270" s="14" t="s">
        <v>55</v>
      </c>
      <c r="C270" s="9"/>
      <c r="D270" s="12"/>
    </row>
    <row r="271" spans="1:4" ht="11.25" customHeight="1" x14ac:dyDescent="0.2">
      <c r="A271" s="23" t="s">
        <v>25</v>
      </c>
      <c r="B271" s="18" t="s">
        <v>520</v>
      </c>
      <c r="C271" s="16" t="s">
        <v>45</v>
      </c>
      <c r="D271" s="22">
        <v>54.61</v>
      </c>
    </row>
    <row r="272" spans="1:4" ht="11.25" customHeight="1" x14ac:dyDescent="0.2">
      <c r="A272" s="23" t="s">
        <v>26</v>
      </c>
      <c r="B272" s="18" t="s">
        <v>519</v>
      </c>
      <c r="C272" s="16" t="s">
        <v>45</v>
      </c>
      <c r="D272" s="17">
        <v>110.17</v>
      </c>
    </row>
    <row r="273" spans="1:4" ht="11.25" customHeight="1" x14ac:dyDescent="0.2">
      <c r="A273" s="23" t="s">
        <v>27</v>
      </c>
      <c r="B273" s="18" t="s">
        <v>518</v>
      </c>
      <c r="C273" s="16" t="s">
        <v>45</v>
      </c>
      <c r="D273" s="22">
        <v>15.88</v>
      </c>
    </row>
    <row r="274" spans="1:4" ht="11.25" customHeight="1" x14ac:dyDescent="0.2">
      <c r="A274" s="18"/>
      <c r="B274" s="15"/>
      <c r="C274" s="16"/>
      <c r="D274" s="18"/>
    </row>
    <row r="275" spans="1:4" ht="11.25" customHeight="1" x14ac:dyDescent="0.2">
      <c r="A275" s="13">
        <v>16</v>
      </c>
      <c r="B275" s="14" t="s">
        <v>206</v>
      </c>
      <c r="C275" s="9"/>
      <c r="D275" s="12"/>
    </row>
    <row r="276" spans="1:4" ht="11.25" customHeight="1" x14ac:dyDescent="0.2">
      <c r="A276" s="26" t="s">
        <v>11</v>
      </c>
      <c r="B276" s="25" t="s">
        <v>537</v>
      </c>
      <c r="C276" s="16" t="s">
        <v>489</v>
      </c>
      <c r="D276" s="17">
        <v>0</v>
      </c>
    </row>
    <row r="277" spans="1:4" ht="11.25" customHeight="1" x14ac:dyDescent="0.2">
      <c r="A277" s="26" t="s">
        <v>12</v>
      </c>
      <c r="B277" s="25" t="s">
        <v>557</v>
      </c>
      <c r="C277" s="16" t="s">
        <v>489</v>
      </c>
      <c r="D277" s="17">
        <v>36.26</v>
      </c>
    </row>
    <row r="278" spans="1:4" ht="11.25" customHeight="1" x14ac:dyDescent="0.2">
      <c r="A278" s="26" t="s">
        <v>210</v>
      </c>
      <c r="B278" s="25" t="s">
        <v>538</v>
      </c>
      <c r="C278" s="16" t="s">
        <v>489</v>
      </c>
      <c r="D278" s="17">
        <v>55.38</v>
      </c>
    </row>
    <row r="279" spans="1:4" ht="11.25" customHeight="1" x14ac:dyDescent="0.2">
      <c r="A279" s="26" t="s">
        <v>211</v>
      </c>
      <c r="B279" s="25" t="s">
        <v>730</v>
      </c>
      <c r="C279" s="16" t="s">
        <v>489</v>
      </c>
      <c r="D279" s="17">
        <v>25.65</v>
      </c>
    </row>
    <row r="280" spans="1:4" ht="11.25" customHeight="1" x14ac:dyDescent="0.2">
      <c r="A280" s="26" t="s">
        <v>212</v>
      </c>
      <c r="B280" s="25" t="s">
        <v>539</v>
      </c>
      <c r="C280" s="16" t="s">
        <v>489</v>
      </c>
      <c r="D280" s="54">
        <v>951.51</v>
      </c>
    </row>
    <row r="281" spans="1:4" ht="11.25" customHeight="1" x14ac:dyDescent="0.2">
      <c r="A281" s="26" t="s">
        <v>213</v>
      </c>
      <c r="B281" s="25" t="s">
        <v>590</v>
      </c>
      <c r="C281" s="16" t="s">
        <v>489</v>
      </c>
      <c r="D281" s="17">
        <v>294.76</v>
      </c>
    </row>
    <row r="282" spans="1:4" ht="11.25" customHeight="1" x14ac:dyDescent="0.2">
      <c r="A282" s="26" t="s">
        <v>214</v>
      </c>
      <c r="B282" s="25" t="s">
        <v>591</v>
      </c>
      <c r="C282" s="16" t="s">
        <v>489</v>
      </c>
      <c r="D282" s="54">
        <v>657.15</v>
      </c>
    </row>
    <row r="283" spans="1:4" ht="11.25" customHeight="1" x14ac:dyDescent="0.2">
      <c r="A283" s="26" t="s">
        <v>215</v>
      </c>
      <c r="B283" s="25" t="s">
        <v>592</v>
      </c>
      <c r="C283" s="16" t="s">
        <v>489</v>
      </c>
      <c r="D283" s="17">
        <v>409.74</v>
      </c>
    </row>
    <row r="284" spans="1:4" ht="11.25" customHeight="1" x14ac:dyDescent="0.2">
      <c r="A284" s="26" t="s">
        <v>216</v>
      </c>
      <c r="B284" s="25" t="s">
        <v>540</v>
      </c>
      <c r="C284" s="16" t="s">
        <v>489</v>
      </c>
      <c r="D284" s="17">
        <v>78.14</v>
      </c>
    </row>
    <row r="285" spans="1:4" ht="11.25" customHeight="1" x14ac:dyDescent="0.2">
      <c r="A285" s="26" t="s">
        <v>217</v>
      </c>
      <c r="B285" s="25" t="s">
        <v>759</v>
      </c>
      <c r="C285" s="16" t="s">
        <v>489</v>
      </c>
      <c r="D285" s="17">
        <v>3.55</v>
      </c>
    </row>
    <row r="286" spans="1:4" ht="11.25" customHeight="1" x14ac:dyDescent="0.2">
      <c r="A286" s="26" t="s">
        <v>218</v>
      </c>
      <c r="B286" s="25" t="s">
        <v>207</v>
      </c>
      <c r="C286" s="16" t="s">
        <v>489</v>
      </c>
      <c r="D286" s="17">
        <v>1.45</v>
      </c>
    </row>
    <row r="287" spans="1:4" ht="11.25" customHeight="1" x14ac:dyDescent="0.2">
      <c r="A287" s="26" t="s">
        <v>219</v>
      </c>
      <c r="B287" s="4" t="s">
        <v>679</v>
      </c>
      <c r="C287" s="16" t="s">
        <v>39</v>
      </c>
      <c r="D287" s="17">
        <v>1</v>
      </c>
    </row>
    <row r="288" spans="1:4" ht="11.25" hidden="1" customHeight="1" outlineLevel="1" x14ac:dyDescent="0.2">
      <c r="A288" s="26"/>
      <c r="B288" s="25" t="s">
        <v>234</v>
      </c>
      <c r="C288" s="16" t="s">
        <v>40</v>
      </c>
      <c r="D288" s="17">
        <v>19.940000000000001</v>
      </c>
    </row>
    <row r="289" spans="1:4" ht="11.25" hidden="1" customHeight="1" outlineLevel="1" x14ac:dyDescent="0.2">
      <c r="A289" s="26"/>
      <c r="B289" s="25" t="s">
        <v>680</v>
      </c>
      <c r="C289" s="16" t="s">
        <v>40</v>
      </c>
      <c r="D289" s="17">
        <v>6.15</v>
      </c>
    </row>
    <row r="290" spans="1:4" ht="11.25" hidden="1" customHeight="1" outlineLevel="1" x14ac:dyDescent="0.2">
      <c r="A290" s="26"/>
      <c r="B290" s="25" t="s">
        <v>699</v>
      </c>
      <c r="C290" s="16" t="s">
        <v>40</v>
      </c>
      <c r="D290" s="17">
        <v>57.83</v>
      </c>
    </row>
    <row r="291" spans="1:4" ht="11.25" customHeight="1" collapsed="1" x14ac:dyDescent="0.2">
      <c r="A291" s="26" t="s">
        <v>220</v>
      </c>
      <c r="B291" s="15" t="s">
        <v>208</v>
      </c>
      <c r="C291" s="16" t="s">
        <v>42</v>
      </c>
      <c r="D291" s="17">
        <v>187</v>
      </c>
    </row>
    <row r="292" spans="1:4" ht="11.25" customHeight="1" x14ac:dyDescent="0.2">
      <c r="A292" s="26" t="s">
        <v>221</v>
      </c>
      <c r="B292" s="25" t="s">
        <v>495</v>
      </c>
      <c r="C292" s="16" t="s">
        <v>38</v>
      </c>
      <c r="D292" s="17">
        <v>539.83000000000004</v>
      </c>
    </row>
    <row r="293" spans="1:4" ht="11.25" customHeight="1" x14ac:dyDescent="0.2">
      <c r="A293" s="26" t="s">
        <v>222</v>
      </c>
      <c r="B293" s="15" t="s">
        <v>209</v>
      </c>
      <c r="C293" s="16" t="s">
        <v>489</v>
      </c>
      <c r="D293" s="17">
        <v>29.33</v>
      </c>
    </row>
    <row r="294" spans="1:4" ht="11.25" hidden="1" customHeight="1" outlineLevel="1" x14ac:dyDescent="0.2">
      <c r="A294" s="41"/>
      <c r="B294" s="25" t="s">
        <v>698</v>
      </c>
      <c r="C294" s="16" t="s">
        <v>40</v>
      </c>
      <c r="D294" s="17">
        <v>51.28</v>
      </c>
    </row>
    <row r="295" spans="1:4" ht="11.25" customHeight="1" collapsed="1" x14ac:dyDescent="0.2">
      <c r="A295" s="26" t="s">
        <v>223</v>
      </c>
      <c r="B295" s="15" t="s">
        <v>556</v>
      </c>
      <c r="C295" s="16" t="s">
        <v>39</v>
      </c>
      <c r="D295" s="39">
        <v>1</v>
      </c>
    </row>
    <row r="296" spans="1:4" ht="11.25" hidden="1" customHeight="1" outlineLevel="1" x14ac:dyDescent="0.2">
      <c r="B296" s="15" t="s">
        <v>110</v>
      </c>
      <c r="C296" s="16" t="s">
        <v>42</v>
      </c>
      <c r="D296" s="54">
        <v>96</v>
      </c>
    </row>
    <row r="297" spans="1:4" ht="11.25" hidden="1" customHeight="1" outlineLevel="1" x14ac:dyDescent="0.2">
      <c r="A297" s="26"/>
      <c r="B297" s="15" t="s">
        <v>111</v>
      </c>
      <c r="C297" s="16" t="s">
        <v>42</v>
      </c>
      <c r="D297" s="17">
        <v>1</v>
      </c>
    </row>
    <row r="298" spans="1:4" ht="11.25" hidden="1" customHeight="1" outlineLevel="1" x14ac:dyDescent="0.2">
      <c r="A298" s="26"/>
      <c r="B298" s="15" t="s">
        <v>224</v>
      </c>
      <c r="C298" s="16" t="s">
        <v>42</v>
      </c>
      <c r="D298" s="17">
        <v>21</v>
      </c>
    </row>
    <row r="299" spans="1:4" ht="11.25" hidden="1" customHeight="1" outlineLevel="1" x14ac:dyDescent="0.2">
      <c r="A299" s="26"/>
      <c r="B299" s="15" t="s">
        <v>700</v>
      </c>
      <c r="C299" s="16" t="s">
        <v>42</v>
      </c>
      <c r="D299" s="17">
        <v>2</v>
      </c>
    </row>
    <row r="300" spans="1:4" ht="11.25" hidden="1" customHeight="1" outlineLevel="1" x14ac:dyDescent="0.2">
      <c r="A300" s="26"/>
      <c r="B300" s="15" t="s">
        <v>112</v>
      </c>
      <c r="C300" s="16" t="s">
        <v>42</v>
      </c>
      <c r="D300" s="17">
        <v>18</v>
      </c>
    </row>
    <row r="301" spans="1:4" ht="11.25" hidden="1" customHeight="1" outlineLevel="1" x14ac:dyDescent="0.2">
      <c r="A301" s="26"/>
      <c r="B301" s="15" t="s">
        <v>225</v>
      </c>
      <c r="C301" s="16" t="s">
        <v>42</v>
      </c>
      <c r="D301" s="17">
        <v>0</v>
      </c>
    </row>
    <row r="302" spans="1:4" ht="11.25" hidden="1" customHeight="1" outlineLevel="1" x14ac:dyDescent="0.2">
      <c r="A302" s="26"/>
      <c r="B302" s="15" t="s">
        <v>701</v>
      </c>
      <c r="C302" s="16" t="s">
        <v>42</v>
      </c>
      <c r="D302" s="17">
        <v>4</v>
      </c>
    </row>
    <row r="303" spans="1:4" ht="11.25" hidden="1" customHeight="1" outlineLevel="1" x14ac:dyDescent="0.2">
      <c r="A303" s="26"/>
      <c r="B303" s="15" t="s">
        <v>226</v>
      </c>
      <c r="C303" s="16" t="s">
        <v>42</v>
      </c>
      <c r="D303" s="17">
        <v>0</v>
      </c>
    </row>
    <row r="304" spans="1:4" ht="11.25" hidden="1" customHeight="1" outlineLevel="1" x14ac:dyDescent="0.2">
      <c r="A304" s="26"/>
      <c r="B304" s="15" t="s">
        <v>702</v>
      </c>
      <c r="C304" s="16" t="s">
        <v>42</v>
      </c>
      <c r="D304" s="17">
        <v>14</v>
      </c>
    </row>
    <row r="305" spans="1:4" ht="12" hidden="1" customHeight="1" outlineLevel="1" x14ac:dyDescent="0.2">
      <c r="A305" s="26"/>
      <c r="B305" s="15" t="s">
        <v>523</v>
      </c>
      <c r="C305" s="16" t="s">
        <v>42</v>
      </c>
      <c r="D305" s="17">
        <v>31</v>
      </c>
    </row>
    <row r="306" spans="1:4" ht="12" hidden="1" customHeight="1" outlineLevel="1" x14ac:dyDescent="0.2">
      <c r="A306" s="26"/>
      <c r="B306" s="15" t="s">
        <v>820</v>
      </c>
      <c r="C306" s="16" t="s">
        <v>42</v>
      </c>
      <c r="D306" s="17">
        <v>3</v>
      </c>
    </row>
    <row r="307" spans="1:4" ht="12" hidden="1" customHeight="1" outlineLevel="1" x14ac:dyDescent="0.2">
      <c r="A307" s="26"/>
      <c r="B307" s="15" t="s">
        <v>821</v>
      </c>
      <c r="C307" s="16" t="s">
        <v>42</v>
      </c>
      <c r="D307" s="17">
        <v>2</v>
      </c>
    </row>
    <row r="308" spans="1:4" ht="11.25" customHeight="1" collapsed="1" x14ac:dyDescent="0.2">
      <c r="A308" s="26"/>
      <c r="B308" s="4"/>
      <c r="C308" s="16"/>
      <c r="D308" s="17"/>
    </row>
    <row r="309" spans="1:4" ht="11.25" customHeight="1" x14ac:dyDescent="0.2">
      <c r="A309" s="13">
        <v>17</v>
      </c>
      <c r="B309" s="14" t="s">
        <v>229</v>
      </c>
      <c r="C309" s="9"/>
      <c r="D309" s="12"/>
    </row>
    <row r="310" spans="1:4" ht="11.25" customHeight="1" x14ac:dyDescent="0.2">
      <c r="A310" s="26" t="s">
        <v>4</v>
      </c>
      <c r="B310" s="15" t="s">
        <v>227</v>
      </c>
      <c r="C310" s="16" t="s">
        <v>40</v>
      </c>
      <c r="D310" s="17">
        <v>483.57</v>
      </c>
    </row>
    <row r="311" spans="1:4" ht="11.25" customHeight="1" x14ac:dyDescent="0.2">
      <c r="A311" s="26" t="s">
        <v>5</v>
      </c>
      <c r="B311" s="25" t="s">
        <v>228</v>
      </c>
      <c r="C311" s="16" t="s">
        <v>40</v>
      </c>
      <c r="D311" s="17">
        <v>0</v>
      </c>
    </row>
    <row r="312" spans="1:4" ht="11.25" customHeight="1" x14ac:dyDescent="0.2">
      <c r="A312" s="26" t="s">
        <v>6</v>
      </c>
      <c r="B312" s="25" t="s">
        <v>766</v>
      </c>
      <c r="C312" s="16" t="s">
        <v>40</v>
      </c>
      <c r="D312" s="17">
        <v>0</v>
      </c>
    </row>
    <row r="313" spans="1:4" ht="11.25" customHeight="1" x14ac:dyDescent="0.2">
      <c r="A313" s="26" t="s">
        <v>7</v>
      </c>
      <c r="B313" s="25" t="s">
        <v>545</v>
      </c>
      <c r="C313" s="16" t="s">
        <v>40</v>
      </c>
      <c r="D313" s="17">
        <v>117.66</v>
      </c>
    </row>
    <row r="314" spans="1:4" ht="11.25" customHeight="1" x14ac:dyDescent="0.2">
      <c r="A314" s="26" t="s">
        <v>8</v>
      </c>
      <c r="B314" s="25" t="s">
        <v>546</v>
      </c>
      <c r="C314" s="16" t="s">
        <v>40</v>
      </c>
      <c r="D314" s="17">
        <v>549.25</v>
      </c>
    </row>
    <row r="315" spans="1:4" ht="11.25" customHeight="1" x14ac:dyDescent="0.2">
      <c r="A315" s="26" t="s">
        <v>9</v>
      </c>
      <c r="B315" s="25" t="s">
        <v>547</v>
      </c>
      <c r="C315" s="16" t="s">
        <v>40</v>
      </c>
      <c r="D315" s="17">
        <v>313.93</v>
      </c>
    </row>
    <row r="316" spans="1:4" ht="11.25" customHeight="1" x14ac:dyDescent="0.2">
      <c r="A316" s="26" t="s">
        <v>10</v>
      </c>
      <c r="B316" s="25" t="s">
        <v>548</v>
      </c>
      <c r="C316" s="16" t="s">
        <v>40</v>
      </c>
      <c r="D316" s="54">
        <v>712.68</v>
      </c>
    </row>
    <row r="317" spans="1:4" ht="11.25" customHeight="1" x14ac:dyDescent="0.2">
      <c r="A317" s="26" t="s">
        <v>28</v>
      </c>
      <c r="B317" s="25" t="s">
        <v>549</v>
      </c>
      <c r="C317" s="16" t="s">
        <v>40</v>
      </c>
      <c r="D317" s="17">
        <v>484.76</v>
      </c>
    </row>
    <row r="318" spans="1:4" ht="11.25" customHeight="1" x14ac:dyDescent="0.2">
      <c r="A318" s="26" t="s">
        <v>534</v>
      </c>
      <c r="B318" s="25" t="s">
        <v>587</v>
      </c>
      <c r="C318" s="16" t="s">
        <v>40</v>
      </c>
      <c r="D318" s="17">
        <v>16.57</v>
      </c>
    </row>
    <row r="319" spans="1:4" ht="11.25" customHeight="1" x14ac:dyDescent="0.2">
      <c r="A319" s="26"/>
      <c r="B319" s="15"/>
      <c r="C319" s="16"/>
      <c r="D319" s="17"/>
    </row>
    <row r="320" spans="1:4" ht="11.25" customHeight="1" x14ac:dyDescent="0.2">
      <c r="A320" s="13">
        <v>18</v>
      </c>
      <c r="B320" s="14" t="s">
        <v>230</v>
      </c>
      <c r="C320" s="9" t="s">
        <v>31</v>
      </c>
      <c r="D320" s="12" t="s">
        <v>32</v>
      </c>
    </row>
    <row r="321" spans="1:4" ht="11.25" customHeight="1" x14ac:dyDescent="0.2">
      <c r="A321" s="26" t="s">
        <v>114</v>
      </c>
      <c r="B321" s="25" t="s">
        <v>550</v>
      </c>
      <c r="C321" s="16" t="s">
        <v>489</v>
      </c>
      <c r="D321" s="17">
        <v>0</v>
      </c>
    </row>
    <row r="322" spans="1:4" ht="11.25" customHeight="1" x14ac:dyDescent="0.2">
      <c r="A322" s="26" t="s">
        <v>115</v>
      </c>
      <c r="B322" s="25" t="s">
        <v>551</v>
      </c>
      <c r="C322" s="16" t="s">
        <v>489</v>
      </c>
      <c r="D322" s="17">
        <v>68.38</v>
      </c>
    </row>
    <row r="323" spans="1:4" ht="11.25" customHeight="1" x14ac:dyDescent="0.2">
      <c r="A323" s="26" t="s">
        <v>116</v>
      </c>
      <c r="B323" s="25" t="s">
        <v>552</v>
      </c>
      <c r="C323" s="16" t="s">
        <v>489</v>
      </c>
      <c r="D323" s="54">
        <v>27.28</v>
      </c>
    </row>
    <row r="324" spans="1:4" ht="11.25" customHeight="1" x14ac:dyDescent="0.2">
      <c r="A324" s="26" t="s">
        <v>117</v>
      </c>
      <c r="B324" s="25" t="s">
        <v>731</v>
      </c>
      <c r="C324" s="16" t="s">
        <v>489</v>
      </c>
      <c r="D324" s="17">
        <v>19.29</v>
      </c>
    </row>
    <row r="325" spans="1:4" ht="11.25" customHeight="1" x14ac:dyDescent="0.2">
      <c r="A325" s="26" t="s">
        <v>118</v>
      </c>
      <c r="B325" s="25" t="s">
        <v>553</v>
      </c>
      <c r="C325" s="16" t="s">
        <v>489</v>
      </c>
      <c r="D325" s="54">
        <v>975.78</v>
      </c>
    </row>
    <row r="326" spans="1:4" ht="11.25" customHeight="1" x14ac:dyDescent="0.2">
      <c r="A326" s="26" t="s">
        <v>119</v>
      </c>
      <c r="B326" s="25" t="s">
        <v>554</v>
      </c>
      <c r="C326" s="16" t="s">
        <v>489</v>
      </c>
      <c r="D326" s="17">
        <v>0</v>
      </c>
    </row>
    <row r="327" spans="1:4" ht="11.25" customHeight="1" x14ac:dyDescent="0.2">
      <c r="A327" s="26" t="s">
        <v>144</v>
      </c>
      <c r="B327" s="25" t="s">
        <v>555</v>
      </c>
      <c r="C327" s="16" t="s">
        <v>489</v>
      </c>
      <c r="D327" s="17">
        <v>50.75</v>
      </c>
    </row>
    <row r="328" spans="1:4" ht="11.25" customHeight="1" x14ac:dyDescent="0.2">
      <c r="A328" s="26" t="s">
        <v>145</v>
      </c>
      <c r="B328" s="25" t="s">
        <v>767</v>
      </c>
      <c r="C328" s="16" t="s">
        <v>489</v>
      </c>
      <c r="D328" s="17">
        <v>3.09</v>
      </c>
    </row>
    <row r="329" spans="1:4" ht="11.25" customHeight="1" x14ac:dyDescent="0.2">
      <c r="A329" s="26" t="s">
        <v>231</v>
      </c>
      <c r="B329" s="25" t="s">
        <v>681</v>
      </c>
      <c r="C329" s="16" t="s">
        <v>39</v>
      </c>
      <c r="D329" s="17"/>
    </row>
    <row r="330" spans="1:4" ht="11.25" customHeight="1" outlineLevel="1" x14ac:dyDescent="0.2">
      <c r="B330" s="25" t="s">
        <v>235</v>
      </c>
      <c r="C330" s="16" t="s">
        <v>40</v>
      </c>
      <c r="D330" s="54">
        <v>140.76</v>
      </c>
    </row>
    <row r="331" spans="1:4" ht="11.25" customHeight="1" outlineLevel="1" x14ac:dyDescent="0.2">
      <c r="A331" s="26"/>
      <c r="B331" s="25" t="s">
        <v>236</v>
      </c>
      <c r="C331" s="16" t="s">
        <v>40</v>
      </c>
      <c r="D331" s="17">
        <v>0</v>
      </c>
    </row>
    <row r="332" spans="1:4" outlineLevel="1" x14ac:dyDescent="0.2">
      <c r="A332" s="41"/>
      <c r="B332" s="25" t="s">
        <v>237</v>
      </c>
      <c r="C332" s="16" t="s">
        <v>40</v>
      </c>
      <c r="D332" s="17">
        <v>0</v>
      </c>
    </row>
    <row r="333" spans="1:4" x14ac:dyDescent="0.2">
      <c r="A333" s="26" t="s">
        <v>232</v>
      </c>
      <c r="B333" s="25" t="s">
        <v>703</v>
      </c>
      <c r="C333" s="16" t="s">
        <v>489</v>
      </c>
      <c r="D333" s="17">
        <v>52.82</v>
      </c>
    </row>
    <row r="334" spans="1:4" x14ac:dyDescent="0.2">
      <c r="A334" s="26" t="s">
        <v>233</v>
      </c>
      <c r="B334" s="25" t="s">
        <v>704</v>
      </c>
      <c r="C334" s="16" t="s">
        <v>489</v>
      </c>
      <c r="D334" s="17">
        <v>4.07</v>
      </c>
    </row>
    <row r="335" spans="1:4" ht="11.25" customHeight="1" x14ac:dyDescent="0.2">
      <c r="A335" s="23"/>
      <c r="B335" s="15"/>
      <c r="C335" s="16"/>
      <c r="D335" s="17"/>
    </row>
    <row r="336" spans="1:4" ht="11.25" customHeight="1" x14ac:dyDescent="0.2">
      <c r="A336" s="13">
        <v>19</v>
      </c>
      <c r="B336" s="14" t="s">
        <v>253</v>
      </c>
      <c r="C336" s="9" t="s">
        <v>31</v>
      </c>
      <c r="D336" s="12" t="s">
        <v>32</v>
      </c>
    </row>
    <row r="337" spans="1:4" ht="11.25" customHeight="1" x14ac:dyDescent="0.2">
      <c r="A337" s="36" t="s">
        <v>120</v>
      </c>
      <c r="B337" s="42" t="s">
        <v>238</v>
      </c>
      <c r="C337" s="43"/>
      <c r="D337" s="44"/>
    </row>
    <row r="338" spans="1:4" ht="11.25" customHeight="1" x14ac:dyDescent="0.2">
      <c r="A338" s="26" t="s">
        <v>254</v>
      </c>
      <c r="B338" s="25" t="s">
        <v>250</v>
      </c>
      <c r="C338" s="34" t="s">
        <v>39</v>
      </c>
      <c r="D338" s="17">
        <v>0</v>
      </c>
    </row>
    <row r="339" spans="1:4" ht="11.25" hidden="1" customHeight="1" outlineLevel="1" x14ac:dyDescent="0.2">
      <c r="A339" s="26"/>
      <c r="B339" s="15" t="s">
        <v>775</v>
      </c>
      <c r="C339" s="34" t="s">
        <v>42</v>
      </c>
      <c r="D339" s="17">
        <v>3</v>
      </c>
    </row>
    <row r="340" spans="1:4" ht="11.25" hidden="1" customHeight="1" outlineLevel="1" x14ac:dyDescent="0.2">
      <c r="A340" s="26"/>
      <c r="B340" s="15" t="s">
        <v>776</v>
      </c>
      <c r="C340" s="34" t="s">
        <v>42</v>
      </c>
      <c r="D340" s="17">
        <v>2</v>
      </c>
    </row>
    <row r="341" spans="1:4" ht="11.25" hidden="1" customHeight="1" outlineLevel="1" x14ac:dyDescent="0.2">
      <c r="A341" s="26"/>
      <c r="B341" s="15" t="s">
        <v>777</v>
      </c>
      <c r="C341" s="34" t="s">
        <v>42</v>
      </c>
      <c r="D341" s="17">
        <v>1</v>
      </c>
    </row>
    <row r="342" spans="1:4" ht="11.25" hidden="1" customHeight="1" outlineLevel="1" x14ac:dyDescent="0.2">
      <c r="A342" s="26"/>
      <c r="B342" s="15" t="s">
        <v>778</v>
      </c>
      <c r="C342" s="34" t="s">
        <v>42</v>
      </c>
      <c r="D342" s="17">
        <v>1</v>
      </c>
    </row>
    <row r="343" spans="1:4" ht="11.25" hidden="1" customHeight="1" outlineLevel="1" x14ac:dyDescent="0.2">
      <c r="A343" s="26"/>
      <c r="B343" s="15" t="s">
        <v>779</v>
      </c>
      <c r="C343" s="34" t="s">
        <v>42</v>
      </c>
      <c r="D343" s="17">
        <v>1</v>
      </c>
    </row>
    <row r="344" spans="1:4" ht="11.25" customHeight="1" collapsed="1" x14ac:dyDescent="0.2">
      <c r="A344" s="26" t="s">
        <v>255</v>
      </c>
      <c r="B344" s="25" t="s">
        <v>249</v>
      </c>
      <c r="C344" s="34" t="s">
        <v>39</v>
      </c>
      <c r="D344" s="17">
        <v>0</v>
      </c>
    </row>
    <row r="345" spans="1:4" ht="11.25" hidden="1" customHeight="1" outlineLevel="1" x14ac:dyDescent="0.2">
      <c r="A345" s="26"/>
      <c r="B345" s="15" t="s">
        <v>770</v>
      </c>
      <c r="C345" s="34" t="s">
        <v>42</v>
      </c>
      <c r="D345" s="17">
        <v>1</v>
      </c>
    </row>
    <row r="346" spans="1:4" ht="11.25" hidden="1" customHeight="1" outlineLevel="1" x14ac:dyDescent="0.2">
      <c r="A346" s="26"/>
      <c r="B346" s="15" t="s">
        <v>835</v>
      </c>
      <c r="C346" s="34" t="s">
        <v>42</v>
      </c>
      <c r="D346" s="17">
        <v>2</v>
      </c>
    </row>
    <row r="347" spans="1:4" ht="11.25" hidden="1" customHeight="1" outlineLevel="1" x14ac:dyDescent="0.2">
      <c r="A347" s="26"/>
      <c r="B347" s="15" t="s">
        <v>569</v>
      </c>
      <c r="C347" s="34" t="s">
        <v>42</v>
      </c>
      <c r="D347" s="17">
        <v>4</v>
      </c>
    </row>
    <row r="348" spans="1:4" ht="11.25" customHeight="1" collapsed="1" x14ac:dyDescent="0.2">
      <c r="A348" s="26" t="s">
        <v>256</v>
      </c>
      <c r="B348" s="25" t="s">
        <v>248</v>
      </c>
      <c r="C348" s="34" t="s">
        <v>39</v>
      </c>
      <c r="D348" s="17">
        <v>0</v>
      </c>
    </row>
    <row r="349" spans="1:4" ht="11.25" hidden="1" customHeight="1" outlineLevel="1" x14ac:dyDescent="0.2">
      <c r="A349" s="26"/>
      <c r="B349" s="15" t="s">
        <v>570</v>
      </c>
      <c r="C349" s="34" t="s">
        <v>42</v>
      </c>
      <c r="D349" s="17">
        <v>17</v>
      </c>
    </row>
    <row r="350" spans="1:4" ht="11.25" hidden="1" customHeight="1" outlineLevel="1" x14ac:dyDescent="0.2">
      <c r="A350" s="26"/>
      <c r="B350" s="15" t="s">
        <v>571</v>
      </c>
      <c r="C350" s="34" t="s">
        <v>42</v>
      </c>
      <c r="D350" s="17">
        <v>33</v>
      </c>
    </row>
    <row r="351" spans="1:4" ht="11.25" hidden="1" customHeight="1" outlineLevel="1" x14ac:dyDescent="0.2">
      <c r="A351" s="26"/>
      <c r="B351" s="15" t="s">
        <v>780</v>
      </c>
      <c r="C351" s="34" t="s">
        <v>42</v>
      </c>
      <c r="D351" s="17">
        <v>1</v>
      </c>
    </row>
    <row r="352" spans="1:4" ht="11.25" hidden="1" customHeight="1" outlineLevel="1" x14ac:dyDescent="0.2">
      <c r="A352" s="26"/>
      <c r="B352" s="15" t="s">
        <v>786</v>
      </c>
      <c r="C352" s="34" t="s">
        <v>42</v>
      </c>
      <c r="D352" s="17">
        <v>1</v>
      </c>
    </row>
    <row r="353" spans="1:4" ht="11.25" customHeight="1" collapsed="1" x14ac:dyDescent="0.2">
      <c r="A353" s="26" t="s">
        <v>257</v>
      </c>
      <c r="B353" s="25" t="s">
        <v>247</v>
      </c>
      <c r="C353" s="34" t="s">
        <v>39</v>
      </c>
      <c r="D353" s="17">
        <v>0</v>
      </c>
    </row>
    <row r="354" spans="1:4" ht="11.25" hidden="1" customHeight="1" outlineLevel="1" x14ac:dyDescent="0.2">
      <c r="A354" s="26"/>
      <c r="B354" s="15" t="s">
        <v>572</v>
      </c>
      <c r="C354" s="34" t="s">
        <v>42</v>
      </c>
      <c r="D354" s="17">
        <v>1</v>
      </c>
    </row>
    <row r="355" spans="1:4" ht="11.25" hidden="1" customHeight="1" outlineLevel="1" x14ac:dyDescent="0.2">
      <c r="A355" s="26"/>
      <c r="B355" s="15" t="s">
        <v>781</v>
      </c>
      <c r="C355" s="34" t="s">
        <v>42</v>
      </c>
      <c r="D355" s="17">
        <v>1</v>
      </c>
    </row>
    <row r="356" spans="1:4" ht="11.25" hidden="1" customHeight="1" outlineLevel="1" x14ac:dyDescent="0.2">
      <c r="A356" s="26"/>
      <c r="B356" s="15" t="s">
        <v>782</v>
      </c>
      <c r="C356" s="34" t="s">
        <v>42</v>
      </c>
      <c r="D356" s="17">
        <v>1</v>
      </c>
    </row>
    <row r="357" spans="1:4" ht="11.25" hidden="1" customHeight="1" outlineLevel="1" x14ac:dyDescent="0.2">
      <c r="A357" s="26"/>
      <c r="B357" s="15" t="s">
        <v>783</v>
      </c>
      <c r="C357" s="34" t="s">
        <v>42</v>
      </c>
      <c r="D357" s="17">
        <v>2</v>
      </c>
    </row>
    <row r="358" spans="1:4" ht="11.25" customHeight="1" collapsed="1" x14ac:dyDescent="0.2">
      <c r="A358" s="26" t="s">
        <v>258</v>
      </c>
      <c r="B358" s="25" t="s">
        <v>246</v>
      </c>
      <c r="C358" s="34" t="s">
        <v>39</v>
      </c>
      <c r="D358" s="17">
        <v>0</v>
      </c>
    </row>
    <row r="359" spans="1:4" ht="11.25" hidden="1" customHeight="1" outlineLevel="1" x14ac:dyDescent="0.2">
      <c r="A359" s="26"/>
      <c r="B359" s="15" t="s">
        <v>660</v>
      </c>
      <c r="C359" s="34" t="s">
        <v>42</v>
      </c>
      <c r="D359" s="17">
        <v>17</v>
      </c>
    </row>
    <row r="360" spans="1:4" ht="11.25" hidden="1" customHeight="1" outlineLevel="1" x14ac:dyDescent="0.2">
      <c r="A360" s="26"/>
      <c r="B360" s="15" t="s">
        <v>573</v>
      </c>
      <c r="C360" s="34" t="s">
        <v>42</v>
      </c>
      <c r="D360" s="17">
        <v>19</v>
      </c>
    </row>
    <row r="361" spans="1:4" ht="11.25" hidden="1" customHeight="1" outlineLevel="1" x14ac:dyDescent="0.2">
      <c r="A361" s="26"/>
      <c r="B361" s="15" t="s">
        <v>713</v>
      </c>
      <c r="C361" s="34" t="s">
        <v>42</v>
      </c>
      <c r="D361" s="17">
        <v>2</v>
      </c>
    </row>
    <row r="362" spans="1:4" ht="11.25" hidden="1" customHeight="1" outlineLevel="1" x14ac:dyDescent="0.2">
      <c r="A362" s="26"/>
      <c r="B362" s="15" t="s">
        <v>714</v>
      </c>
      <c r="C362" s="34" t="s">
        <v>42</v>
      </c>
      <c r="D362" s="17">
        <v>1</v>
      </c>
    </row>
    <row r="363" spans="1:4" ht="11.25" hidden="1" customHeight="1" outlineLevel="1" x14ac:dyDescent="0.2">
      <c r="A363" s="26"/>
      <c r="B363" s="15" t="s">
        <v>715</v>
      </c>
      <c r="C363" s="34" t="s">
        <v>42</v>
      </c>
      <c r="D363" s="17">
        <v>1</v>
      </c>
    </row>
    <row r="364" spans="1:4" ht="11.25" hidden="1" customHeight="1" outlineLevel="1" x14ac:dyDescent="0.2">
      <c r="A364" s="26"/>
      <c r="B364" s="15" t="s">
        <v>787</v>
      </c>
      <c r="C364" s="34" t="s">
        <v>42</v>
      </c>
      <c r="D364" s="17">
        <v>1</v>
      </c>
    </row>
    <row r="365" spans="1:4" collapsed="1" x14ac:dyDescent="0.2">
      <c r="A365" s="26" t="s">
        <v>259</v>
      </c>
      <c r="B365" s="25" t="s">
        <v>240</v>
      </c>
      <c r="C365" s="34" t="s">
        <v>39</v>
      </c>
      <c r="D365" s="17">
        <v>0</v>
      </c>
    </row>
    <row r="366" spans="1:4" ht="11.25" customHeight="1" outlineLevel="1" x14ac:dyDescent="0.2">
      <c r="A366" s="26"/>
      <c r="B366" s="25" t="s">
        <v>817</v>
      </c>
      <c r="C366" s="34" t="s">
        <v>42</v>
      </c>
      <c r="D366" s="54">
        <v>33</v>
      </c>
    </row>
    <row r="367" spans="1:4" ht="11.25" customHeight="1" outlineLevel="1" x14ac:dyDescent="0.2">
      <c r="A367" s="26"/>
      <c r="B367" s="25" t="s">
        <v>818</v>
      </c>
      <c r="C367" s="34" t="s">
        <v>42</v>
      </c>
      <c r="D367" s="17">
        <v>22</v>
      </c>
    </row>
    <row r="368" spans="1:4" ht="11.25" customHeight="1" outlineLevel="1" x14ac:dyDescent="0.2">
      <c r="A368" s="26"/>
      <c r="B368" s="25" t="s">
        <v>836</v>
      </c>
      <c r="C368" s="34" t="s">
        <v>42</v>
      </c>
      <c r="D368" s="17">
        <v>26</v>
      </c>
    </row>
    <row r="369" spans="1:4" ht="11.25" customHeight="1" x14ac:dyDescent="0.2">
      <c r="A369" s="26" t="s">
        <v>260</v>
      </c>
      <c r="B369" s="25" t="s">
        <v>239</v>
      </c>
      <c r="C369" s="34" t="s">
        <v>39</v>
      </c>
      <c r="D369" s="17">
        <v>0</v>
      </c>
    </row>
    <row r="370" spans="1:4" ht="11.25" hidden="1" customHeight="1" outlineLevel="1" x14ac:dyDescent="0.2">
      <c r="A370" s="26"/>
      <c r="B370" s="15" t="s">
        <v>768</v>
      </c>
      <c r="C370" s="40" t="s">
        <v>42</v>
      </c>
      <c r="D370" s="17">
        <v>18</v>
      </c>
    </row>
    <row r="371" spans="1:4" ht="11.25" hidden="1" customHeight="1" outlineLevel="1" x14ac:dyDescent="0.2">
      <c r="A371" s="26"/>
      <c r="B371" s="15" t="s">
        <v>838</v>
      </c>
      <c r="C371" s="40" t="s">
        <v>42</v>
      </c>
      <c r="D371" s="17">
        <v>1</v>
      </c>
    </row>
    <row r="372" spans="1:4" ht="11.25" hidden="1" customHeight="1" outlineLevel="1" x14ac:dyDescent="0.2">
      <c r="A372" s="26"/>
      <c r="B372" s="15" t="s">
        <v>837</v>
      </c>
      <c r="C372" s="40" t="s">
        <v>42</v>
      </c>
      <c r="D372" s="17">
        <v>2</v>
      </c>
    </row>
    <row r="373" spans="1:4" ht="11.25" customHeight="1" collapsed="1" x14ac:dyDescent="0.2">
      <c r="A373" s="36" t="s">
        <v>121</v>
      </c>
      <c r="B373" s="42" t="s">
        <v>241</v>
      </c>
      <c r="C373" s="43"/>
      <c r="D373" s="44"/>
    </row>
    <row r="374" spans="1:4" ht="11.25" customHeight="1" x14ac:dyDescent="0.2">
      <c r="A374" s="26" t="s">
        <v>263</v>
      </c>
      <c r="B374" s="25" t="s">
        <v>242</v>
      </c>
      <c r="C374" s="34" t="s">
        <v>39</v>
      </c>
      <c r="D374" s="17">
        <v>0</v>
      </c>
    </row>
    <row r="375" spans="1:4" ht="11.25" hidden="1" customHeight="1" outlineLevel="1" x14ac:dyDescent="0.2">
      <c r="A375" s="26"/>
      <c r="B375" s="15" t="s">
        <v>574</v>
      </c>
      <c r="C375" s="40" t="s">
        <v>42</v>
      </c>
      <c r="D375" s="17">
        <v>1</v>
      </c>
    </row>
    <row r="376" spans="1:4" ht="11.25" hidden="1" customHeight="1" outlineLevel="1" x14ac:dyDescent="0.2">
      <c r="A376" s="26"/>
      <c r="B376" s="15" t="s">
        <v>575</v>
      </c>
      <c r="C376" s="40" t="s">
        <v>42</v>
      </c>
      <c r="D376" s="17">
        <v>1</v>
      </c>
    </row>
    <row r="377" spans="1:4" ht="11.25" hidden="1" customHeight="1" outlineLevel="1" x14ac:dyDescent="0.2">
      <c r="A377" s="26"/>
      <c r="B377" s="15" t="s">
        <v>576</v>
      </c>
      <c r="C377" s="40" t="s">
        <v>42</v>
      </c>
      <c r="D377" s="17">
        <v>2</v>
      </c>
    </row>
    <row r="378" spans="1:4" ht="11.25" hidden="1" customHeight="1" outlineLevel="1" x14ac:dyDescent="0.2">
      <c r="A378" s="26"/>
      <c r="B378" s="15" t="s">
        <v>661</v>
      </c>
      <c r="C378" s="40" t="s">
        <v>42</v>
      </c>
      <c r="D378" s="17">
        <v>2</v>
      </c>
    </row>
    <row r="379" spans="1:4" ht="11.25" hidden="1" customHeight="1" outlineLevel="1" x14ac:dyDescent="0.2">
      <c r="A379" s="26"/>
      <c r="B379" s="15" t="s">
        <v>839</v>
      </c>
      <c r="C379" s="40" t="s">
        <v>42</v>
      </c>
      <c r="D379" s="17">
        <v>1</v>
      </c>
    </row>
    <row r="380" spans="1:4" ht="11.25" hidden="1" customHeight="1" outlineLevel="1" x14ac:dyDescent="0.2">
      <c r="A380" s="26"/>
      <c r="B380" s="15" t="s">
        <v>840</v>
      </c>
      <c r="C380" s="40" t="s">
        <v>42</v>
      </c>
      <c r="D380" s="17">
        <v>1</v>
      </c>
    </row>
    <row r="381" spans="1:4" ht="11.25" hidden="1" customHeight="1" outlineLevel="1" x14ac:dyDescent="0.2">
      <c r="A381" s="26"/>
      <c r="B381" s="15" t="s">
        <v>815</v>
      </c>
      <c r="C381" s="40" t="s">
        <v>42</v>
      </c>
      <c r="D381" s="17">
        <v>17</v>
      </c>
    </row>
    <row r="382" spans="1:4" ht="11.25" hidden="1" customHeight="1" outlineLevel="1" x14ac:dyDescent="0.2">
      <c r="A382" s="26"/>
      <c r="B382" s="15" t="s">
        <v>816</v>
      </c>
      <c r="C382" s="40" t="s">
        <v>42</v>
      </c>
      <c r="D382" s="17">
        <v>1</v>
      </c>
    </row>
    <row r="383" spans="1:4" ht="11.25" hidden="1" customHeight="1" outlineLevel="1" x14ac:dyDescent="0.2">
      <c r="A383" s="26"/>
      <c r="B383" s="15" t="s">
        <v>841</v>
      </c>
      <c r="C383" s="40" t="s">
        <v>42</v>
      </c>
      <c r="D383" s="17">
        <v>1</v>
      </c>
    </row>
    <row r="384" spans="1:4" ht="11.25" hidden="1" customHeight="1" outlineLevel="1" x14ac:dyDescent="0.2">
      <c r="A384" s="26"/>
      <c r="B384" s="15" t="s">
        <v>842</v>
      </c>
      <c r="C384" s="40" t="s">
        <v>42</v>
      </c>
      <c r="D384" s="17">
        <v>1</v>
      </c>
    </row>
    <row r="385" spans="1:4" ht="11.25" customHeight="1" collapsed="1" x14ac:dyDescent="0.2">
      <c r="A385" s="23" t="s">
        <v>264</v>
      </c>
      <c r="B385" s="15" t="s">
        <v>535</v>
      </c>
      <c r="C385" s="34" t="s">
        <v>39</v>
      </c>
      <c r="D385" s="17">
        <v>0</v>
      </c>
    </row>
    <row r="386" spans="1:4" ht="11.25" hidden="1" customHeight="1" outlineLevel="1" x14ac:dyDescent="0.2">
      <c r="A386" s="23"/>
      <c r="B386" s="15" t="s">
        <v>577</v>
      </c>
      <c r="C386" s="34" t="s">
        <v>42</v>
      </c>
      <c r="D386" s="22">
        <v>1</v>
      </c>
    </row>
    <row r="387" spans="1:4" ht="11.25" customHeight="1" collapsed="1" x14ac:dyDescent="0.2">
      <c r="A387" s="26" t="s">
        <v>265</v>
      </c>
      <c r="B387" s="25" t="s">
        <v>243</v>
      </c>
      <c r="C387" s="34" t="s">
        <v>39</v>
      </c>
      <c r="D387" s="17">
        <v>0</v>
      </c>
    </row>
    <row r="388" spans="1:4" ht="11.25" hidden="1" customHeight="1" outlineLevel="1" x14ac:dyDescent="0.2">
      <c r="A388" s="26"/>
      <c r="B388" s="15" t="s">
        <v>843</v>
      </c>
      <c r="C388" s="40" t="s">
        <v>42</v>
      </c>
      <c r="D388" s="22">
        <v>1</v>
      </c>
    </row>
    <row r="389" spans="1:4" ht="11.25" hidden="1" customHeight="1" outlineLevel="1" x14ac:dyDescent="0.2">
      <c r="A389" s="26"/>
      <c r="B389" s="15" t="s">
        <v>844</v>
      </c>
      <c r="C389" s="40" t="s">
        <v>42</v>
      </c>
      <c r="D389" s="22">
        <v>1</v>
      </c>
    </row>
    <row r="390" spans="1:4" ht="11.25" hidden="1" customHeight="1" outlineLevel="1" x14ac:dyDescent="0.2">
      <c r="A390" s="26"/>
      <c r="B390" s="15" t="s">
        <v>845</v>
      </c>
      <c r="C390" s="40" t="s">
        <v>42</v>
      </c>
      <c r="D390" s="22">
        <v>1</v>
      </c>
    </row>
    <row r="391" spans="1:4" ht="11.25" customHeight="1" collapsed="1" x14ac:dyDescent="0.2">
      <c r="A391" s="23" t="s">
        <v>270</v>
      </c>
      <c r="B391" s="25" t="s">
        <v>251</v>
      </c>
      <c r="C391" s="34" t="s">
        <v>39</v>
      </c>
      <c r="D391" s="17">
        <v>0</v>
      </c>
    </row>
    <row r="392" spans="1:4" ht="11.25" hidden="1" customHeight="1" outlineLevel="1" x14ac:dyDescent="0.2">
      <c r="A392" s="23"/>
      <c r="B392" s="25" t="s">
        <v>746</v>
      </c>
      <c r="C392" s="34" t="s">
        <v>42</v>
      </c>
      <c r="D392" s="22">
        <v>1</v>
      </c>
    </row>
    <row r="393" spans="1:4" ht="11.25" hidden="1" customHeight="1" outlineLevel="1" x14ac:dyDescent="0.2">
      <c r="A393" s="23"/>
      <c r="B393" s="25" t="s">
        <v>747</v>
      </c>
      <c r="C393" s="34" t="s">
        <v>42</v>
      </c>
      <c r="D393" s="22">
        <v>1</v>
      </c>
    </row>
    <row r="394" spans="1:4" ht="11.25" customHeight="1" collapsed="1" x14ac:dyDescent="0.2">
      <c r="A394" s="26" t="s">
        <v>536</v>
      </c>
      <c r="B394" s="15" t="s">
        <v>271</v>
      </c>
      <c r="C394" s="16" t="s">
        <v>39</v>
      </c>
      <c r="D394" s="17">
        <v>0</v>
      </c>
    </row>
    <row r="395" spans="1:4" ht="11.25" hidden="1" customHeight="1" outlineLevel="1" x14ac:dyDescent="0.2">
      <c r="A395" s="26"/>
      <c r="B395" s="15"/>
      <c r="C395" s="16" t="s">
        <v>42</v>
      </c>
      <c r="D395" s="22">
        <v>0</v>
      </c>
    </row>
    <row r="396" spans="1:4" ht="11.25" customHeight="1" collapsed="1" x14ac:dyDescent="0.2">
      <c r="A396" s="36" t="s">
        <v>122</v>
      </c>
      <c r="B396" s="42" t="s">
        <v>244</v>
      </c>
      <c r="C396" s="43"/>
      <c r="D396" s="44"/>
    </row>
    <row r="397" spans="1:4" ht="11.25" customHeight="1" x14ac:dyDescent="0.2">
      <c r="A397" s="26" t="s">
        <v>261</v>
      </c>
      <c r="B397" s="25" t="s">
        <v>245</v>
      </c>
      <c r="C397" s="34" t="s">
        <v>39</v>
      </c>
      <c r="D397" s="17">
        <v>0</v>
      </c>
    </row>
    <row r="398" spans="1:4" ht="11.25" customHeight="1" outlineLevel="1" x14ac:dyDescent="0.2">
      <c r="A398" s="26"/>
      <c r="B398" s="15" t="s">
        <v>578</v>
      </c>
      <c r="C398" s="40" t="s">
        <v>42</v>
      </c>
      <c r="D398" s="22">
        <v>23</v>
      </c>
    </row>
    <row r="399" spans="1:4" ht="11.25" customHeight="1" x14ac:dyDescent="0.2">
      <c r="A399" s="26" t="s">
        <v>262</v>
      </c>
      <c r="B399" s="25" t="s">
        <v>252</v>
      </c>
      <c r="C399" s="34" t="s">
        <v>39</v>
      </c>
      <c r="D399" s="17">
        <v>0</v>
      </c>
    </row>
    <row r="400" spans="1:4" ht="11.25" hidden="1" customHeight="1" outlineLevel="1" x14ac:dyDescent="0.2">
      <c r="A400" s="26"/>
      <c r="B400" s="15" t="s">
        <v>579</v>
      </c>
      <c r="C400" s="40" t="s">
        <v>42</v>
      </c>
      <c r="D400" s="17">
        <v>16</v>
      </c>
    </row>
    <row r="401" spans="1:4" ht="11.25" hidden="1" customHeight="1" outlineLevel="1" x14ac:dyDescent="0.2">
      <c r="A401" s="26"/>
      <c r="B401" s="15" t="s">
        <v>663</v>
      </c>
      <c r="C401" s="40" t="s">
        <v>42</v>
      </c>
      <c r="D401" s="17">
        <v>67</v>
      </c>
    </row>
    <row r="402" spans="1:4" ht="11.25" hidden="1" customHeight="1" outlineLevel="1" x14ac:dyDescent="0.2">
      <c r="A402" s="26"/>
      <c r="B402" s="15" t="s">
        <v>664</v>
      </c>
      <c r="C402" s="40" t="s">
        <v>42</v>
      </c>
      <c r="D402" s="17">
        <v>54</v>
      </c>
    </row>
    <row r="403" spans="1:4" ht="11.25" hidden="1" customHeight="1" outlineLevel="1" x14ac:dyDescent="0.2">
      <c r="A403" s="26"/>
      <c r="B403" s="15" t="s">
        <v>662</v>
      </c>
      <c r="C403" s="40" t="s">
        <v>42</v>
      </c>
      <c r="D403" s="54">
        <v>19</v>
      </c>
    </row>
    <row r="404" spans="1:4" ht="11.25" hidden="1" customHeight="1" outlineLevel="1" x14ac:dyDescent="0.2">
      <c r="A404" s="26"/>
      <c r="B404" s="15" t="s">
        <v>665</v>
      </c>
      <c r="C404" s="40" t="s">
        <v>42</v>
      </c>
      <c r="D404" s="54">
        <v>19</v>
      </c>
    </row>
    <row r="405" spans="1:4" ht="11.25" hidden="1" customHeight="1" outlineLevel="1" x14ac:dyDescent="0.2">
      <c r="A405" s="26"/>
      <c r="B405" s="15" t="s">
        <v>788</v>
      </c>
      <c r="C405" s="40" t="s">
        <v>42</v>
      </c>
      <c r="D405" s="17">
        <v>2</v>
      </c>
    </row>
    <row r="406" spans="1:4" ht="11.25" hidden="1" customHeight="1" outlineLevel="1" x14ac:dyDescent="0.2">
      <c r="A406" s="26"/>
      <c r="B406" s="15" t="s">
        <v>813</v>
      </c>
      <c r="C406" s="40" t="s">
        <v>42</v>
      </c>
      <c r="D406" s="17">
        <v>11</v>
      </c>
    </row>
    <row r="407" spans="1:4" ht="11.25" hidden="1" customHeight="1" outlineLevel="1" x14ac:dyDescent="0.2">
      <c r="A407" s="26"/>
      <c r="B407" s="25" t="s">
        <v>814</v>
      </c>
      <c r="C407" s="41" t="s">
        <v>42</v>
      </c>
      <c r="D407" s="17">
        <v>10</v>
      </c>
    </row>
    <row r="408" spans="1:4" ht="11.25" customHeight="1" collapsed="1" x14ac:dyDescent="0.2">
      <c r="A408" s="26"/>
      <c r="B408" s="25"/>
      <c r="C408" s="34"/>
      <c r="D408" s="17"/>
    </row>
    <row r="409" spans="1:4" ht="11.25" customHeight="1" x14ac:dyDescent="0.2">
      <c r="A409" s="11">
        <v>20</v>
      </c>
      <c r="B409" s="14" t="s">
        <v>266</v>
      </c>
      <c r="C409" s="9" t="s">
        <v>31</v>
      </c>
      <c r="D409" s="12" t="s">
        <v>32</v>
      </c>
    </row>
    <row r="410" spans="1:4" ht="11.25" customHeight="1" x14ac:dyDescent="0.2">
      <c r="A410" s="26" t="s">
        <v>123</v>
      </c>
      <c r="B410" s="25" t="s">
        <v>267</v>
      </c>
      <c r="C410" s="34" t="s">
        <v>39</v>
      </c>
      <c r="D410" s="17">
        <v>0</v>
      </c>
    </row>
    <row r="411" spans="1:4" ht="11.25" hidden="1" customHeight="1" outlineLevel="1" x14ac:dyDescent="0.2">
      <c r="A411" s="26"/>
      <c r="B411" s="25" t="s">
        <v>753</v>
      </c>
      <c r="C411" s="34" t="s">
        <v>42</v>
      </c>
      <c r="D411" s="17">
        <v>1</v>
      </c>
    </row>
    <row r="412" spans="1:4" ht="11.25" hidden="1" customHeight="1" outlineLevel="1" x14ac:dyDescent="0.2">
      <c r="A412" s="26"/>
      <c r="B412" s="25" t="s">
        <v>754</v>
      </c>
      <c r="C412" s="34" t="s">
        <v>42</v>
      </c>
      <c r="D412" s="17">
        <v>1</v>
      </c>
    </row>
    <row r="413" spans="1:4" ht="11.25" customHeight="1" collapsed="1" x14ac:dyDescent="0.2">
      <c r="A413" s="26" t="s">
        <v>124</v>
      </c>
      <c r="B413" s="15" t="s">
        <v>268</v>
      </c>
      <c r="C413" s="16" t="s">
        <v>42</v>
      </c>
      <c r="D413" s="17">
        <v>0</v>
      </c>
    </row>
    <row r="414" spans="1:4" ht="11.25" customHeight="1" x14ac:dyDescent="0.2">
      <c r="A414" s="26" t="s">
        <v>125</v>
      </c>
      <c r="B414" s="15" t="s">
        <v>853</v>
      </c>
      <c r="C414" s="16" t="s">
        <v>42</v>
      </c>
      <c r="D414" s="17">
        <v>1</v>
      </c>
    </row>
    <row r="415" spans="1:4" ht="11.25" customHeight="1" x14ac:dyDescent="0.2">
      <c r="A415" s="26" t="s">
        <v>126</v>
      </c>
      <c r="B415" s="15" t="s">
        <v>269</v>
      </c>
      <c r="C415" s="16" t="s">
        <v>39</v>
      </c>
      <c r="D415" s="17">
        <v>0</v>
      </c>
    </row>
    <row r="416" spans="1:4" ht="11.25" hidden="1" customHeight="1" outlineLevel="1" x14ac:dyDescent="0.2">
      <c r="A416" s="26"/>
      <c r="B416" s="15" t="s">
        <v>733</v>
      </c>
      <c r="C416" s="16" t="s">
        <v>42</v>
      </c>
      <c r="D416" s="17">
        <v>2</v>
      </c>
    </row>
    <row r="417" spans="1:4" ht="11.25" hidden="1" customHeight="1" outlineLevel="1" x14ac:dyDescent="0.2">
      <c r="A417" s="26"/>
      <c r="B417" s="15" t="s">
        <v>734</v>
      </c>
      <c r="C417" s="16" t="s">
        <v>42</v>
      </c>
      <c r="D417" s="17">
        <v>1</v>
      </c>
    </row>
    <row r="418" spans="1:4" ht="11.25" hidden="1" customHeight="1" outlineLevel="1" x14ac:dyDescent="0.2">
      <c r="A418" s="26"/>
      <c r="B418" s="15" t="s">
        <v>735</v>
      </c>
      <c r="C418" s="16" t="s">
        <v>42</v>
      </c>
      <c r="D418" s="17">
        <v>2</v>
      </c>
    </row>
    <row r="419" spans="1:4" ht="11.25" hidden="1" customHeight="1" outlineLevel="1" x14ac:dyDescent="0.2">
      <c r="A419" s="26"/>
      <c r="B419" s="15" t="s">
        <v>736</v>
      </c>
      <c r="C419" s="16" t="s">
        <v>42</v>
      </c>
      <c r="D419" s="17">
        <v>1</v>
      </c>
    </row>
    <row r="420" spans="1:4" ht="11.25" hidden="1" customHeight="1" outlineLevel="1" x14ac:dyDescent="0.2">
      <c r="A420" s="26"/>
      <c r="B420" s="15" t="s">
        <v>737</v>
      </c>
      <c r="C420" s="16" t="s">
        <v>42</v>
      </c>
      <c r="D420" s="17">
        <v>1</v>
      </c>
    </row>
    <row r="421" spans="1:4" ht="11.25" hidden="1" customHeight="1" outlineLevel="1" x14ac:dyDescent="0.2">
      <c r="A421" s="26"/>
      <c r="B421" s="15" t="s">
        <v>738</v>
      </c>
      <c r="C421" s="16" t="s">
        <v>42</v>
      </c>
      <c r="D421" s="17">
        <v>1</v>
      </c>
    </row>
    <row r="422" spans="1:4" ht="11.25" hidden="1" customHeight="1" outlineLevel="1" x14ac:dyDescent="0.2">
      <c r="A422" s="26"/>
      <c r="B422" s="15" t="s">
        <v>739</v>
      </c>
      <c r="C422" s="16" t="s">
        <v>42</v>
      </c>
      <c r="D422" s="17">
        <v>1</v>
      </c>
    </row>
    <row r="423" spans="1:4" ht="11.25" hidden="1" customHeight="1" outlineLevel="1" x14ac:dyDescent="0.2">
      <c r="A423" s="26"/>
      <c r="B423" s="15" t="s">
        <v>740</v>
      </c>
      <c r="C423" s="16" t="s">
        <v>42</v>
      </c>
      <c r="D423" s="17">
        <v>2</v>
      </c>
    </row>
    <row r="424" spans="1:4" ht="11.25" hidden="1" customHeight="1" outlineLevel="1" x14ac:dyDescent="0.2">
      <c r="A424" s="26"/>
      <c r="B424" s="15" t="s">
        <v>742</v>
      </c>
      <c r="C424" s="16" t="s">
        <v>42</v>
      </c>
      <c r="D424" s="17">
        <v>1</v>
      </c>
    </row>
    <row r="425" spans="1:4" ht="11.25" customHeight="1" collapsed="1" x14ac:dyDescent="0.2">
      <c r="A425" s="26" t="s">
        <v>275</v>
      </c>
      <c r="B425" s="15" t="s">
        <v>858</v>
      </c>
      <c r="C425" s="16" t="s">
        <v>39</v>
      </c>
      <c r="D425" s="17">
        <v>0</v>
      </c>
    </row>
    <row r="426" spans="1:4" ht="11.25" hidden="1" customHeight="1" outlineLevel="1" x14ac:dyDescent="0.2">
      <c r="A426" s="26"/>
      <c r="B426" s="15" t="s">
        <v>741</v>
      </c>
      <c r="C426" s="16" t="s">
        <v>42</v>
      </c>
      <c r="D426" s="17">
        <v>3</v>
      </c>
    </row>
    <row r="427" spans="1:4" ht="11.25" hidden="1" customHeight="1" outlineLevel="1" x14ac:dyDescent="0.2">
      <c r="A427" s="26"/>
      <c r="B427" s="15" t="s">
        <v>846</v>
      </c>
      <c r="C427" s="16" t="s">
        <v>42</v>
      </c>
      <c r="D427" s="17">
        <v>1</v>
      </c>
    </row>
    <row r="428" spans="1:4" ht="11.25" hidden="1" customHeight="1" outlineLevel="1" x14ac:dyDescent="0.2">
      <c r="A428" s="26"/>
      <c r="B428" s="15" t="s">
        <v>847</v>
      </c>
      <c r="C428" s="16" t="s">
        <v>42</v>
      </c>
      <c r="D428" s="17">
        <v>2</v>
      </c>
    </row>
    <row r="429" spans="1:4" ht="11.25" customHeight="1" collapsed="1" x14ac:dyDescent="0.2">
      <c r="A429" s="26" t="s">
        <v>276</v>
      </c>
      <c r="B429" s="15" t="s">
        <v>272</v>
      </c>
      <c r="C429" s="16" t="s">
        <v>42</v>
      </c>
      <c r="D429" s="17">
        <v>1</v>
      </c>
    </row>
    <row r="430" spans="1:4" ht="11.25" customHeight="1" x14ac:dyDescent="0.2">
      <c r="A430" s="26" t="s">
        <v>277</v>
      </c>
      <c r="B430" s="15" t="s">
        <v>273</v>
      </c>
      <c r="C430" s="16" t="s">
        <v>42</v>
      </c>
      <c r="D430" s="17">
        <v>0</v>
      </c>
    </row>
    <row r="431" spans="1:4" ht="11.25" customHeight="1" x14ac:dyDescent="0.2">
      <c r="A431" s="26" t="s">
        <v>278</v>
      </c>
      <c r="B431" s="15" t="s">
        <v>274</v>
      </c>
      <c r="C431" s="16" t="s">
        <v>42</v>
      </c>
      <c r="D431" s="17">
        <v>0</v>
      </c>
    </row>
    <row r="432" spans="1:4" ht="11.25" customHeight="1" x14ac:dyDescent="0.2">
      <c r="A432" s="26" t="s">
        <v>279</v>
      </c>
      <c r="B432" s="15" t="s">
        <v>855</v>
      </c>
      <c r="C432" s="16" t="s">
        <v>38</v>
      </c>
      <c r="D432" s="17">
        <v>0</v>
      </c>
    </row>
    <row r="433" spans="1:4" ht="11.25" hidden="1" customHeight="1" outlineLevel="1" x14ac:dyDescent="0.2">
      <c r="A433" s="26"/>
      <c r="B433" s="15" t="s">
        <v>769</v>
      </c>
      <c r="C433" s="16" t="s">
        <v>42</v>
      </c>
      <c r="D433" s="17">
        <v>1</v>
      </c>
    </row>
    <row r="434" spans="1:4" ht="11.25" customHeight="1" collapsed="1" x14ac:dyDescent="0.2">
      <c r="A434" s="26" t="s">
        <v>280</v>
      </c>
      <c r="B434" s="15" t="s">
        <v>856</v>
      </c>
      <c r="C434" s="16" t="s">
        <v>39</v>
      </c>
      <c r="D434" s="17">
        <v>0</v>
      </c>
    </row>
    <row r="435" spans="1:4" ht="11.25" hidden="1" customHeight="1" outlineLevel="1" x14ac:dyDescent="0.2">
      <c r="A435" s="26"/>
      <c r="B435" s="15" t="s">
        <v>732</v>
      </c>
      <c r="C435" s="16" t="s">
        <v>42</v>
      </c>
      <c r="D435" s="17">
        <v>2</v>
      </c>
    </row>
    <row r="436" spans="1:4" ht="11.25" hidden="1" customHeight="1" outlineLevel="1" x14ac:dyDescent="0.2">
      <c r="A436" s="26"/>
      <c r="B436" s="15" t="s">
        <v>743</v>
      </c>
      <c r="C436" s="16" t="s">
        <v>40</v>
      </c>
      <c r="D436" s="17">
        <v>6.5</v>
      </c>
    </row>
    <row r="437" spans="1:4" ht="11.25" hidden="1" customHeight="1" outlineLevel="1" x14ac:dyDescent="0.2">
      <c r="A437" s="26"/>
      <c r="B437" s="15" t="s">
        <v>744</v>
      </c>
      <c r="C437" s="16" t="s">
        <v>40</v>
      </c>
      <c r="D437" s="17">
        <v>22.3</v>
      </c>
    </row>
    <row r="438" spans="1:4" ht="11.25" hidden="1" customHeight="1" outlineLevel="1" x14ac:dyDescent="0.2">
      <c r="A438" s="18"/>
      <c r="B438" s="15" t="s">
        <v>745</v>
      </c>
      <c r="C438" s="16" t="s">
        <v>40</v>
      </c>
      <c r="D438" s="18">
        <v>30.3</v>
      </c>
    </row>
    <row r="439" spans="1:4" ht="11.25" customHeight="1" collapsed="1" x14ac:dyDescent="0.2">
      <c r="A439" s="26" t="s">
        <v>281</v>
      </c>
      <c r="B439" s="15" t="s">
        <v>857</v>
      </c>
      <c r="C439" s="16" t="s">
        <v>42</v>
      </c>
      <c r="D439" s="17">
        <v>1</v>
      </c>
    </row>
    <row r="440" spans="1:4" ht="11.25" customHeight="1" x14ac:dyDescent="0.2">
      <c r="A440" s="26"/>
      <c r="B440" s="15"/>
      <c r="C440" s="16"/>
      <c r="D440" s="17"/>
    </row>
    <row r="441" spans="1:4" ht="11.25" customHeight="1" x14ac:dyDescent="0.2">
      <c r="A441" s="18"/>
      <c r="B441" s="15"/>
      <c r="C441" s="16"/>
      <c r="D441" s="18"/>
    </row>
    <row r="442" spans="1:4" ht="11.25" customHeight="1" x14ac:dyDescent="0.2">
      <c r="A442" s="13">
        <v>21</v>
      </c>
      <c r="B442" s="14" t="s">
        <v>51</v>
      </c>
      <c r="C442" s="9" t="s">
        <v>31</v>
      </c>
      <c r="D442" s="12" t="s">
        <v>32</v>
      </c>
    </row>
    <row r="443" spans="1:4" ht="11.25" customHeight="1" x14ac:dyDescent="0.2">
      <c r="A443" s="21" t="s">
        <v>470</v>
      </c>
      <c r="B443" s="18" t="s">
        <v>52</v>
      </c>
      <c r="C443" s="34" t="s">
        <v>38</v>
      </c>
      <c r="D443" s="54">
        <v>4455.18</v>
      </c>
    </row>
    <row r="444" spans="1:4" ht="11.25" customHeight="1" x14ac:dyDescent="0.2">
      <c r="A444" s="21" t="s">
        <v>471</v>
      </c>
      <c r="B444" s="18" t="s">
        <v>582</v>
      </c>
      <c r="C444" s="34" t="s">
        <v>38</v>
      </c>
      <c r="D444" s="17">
        <v>255.95</v>
      </c>
    </row>
    <row r="445" spans="1:4" ht="11.25" customHeight="1" x14ac:dyDescent="0.2">
      <c r="A445" s="21" t="s">
        <v>472</v>
      </c>
      <c r="B445" s="18" t="s">
        <v>758</v>
      </c>
      <c r="C445" s="34" t="s">
        <v>38</v>
      </c>
      <c r="D445" s="17">
        <v>153.57</v>
      </c>
    </row>
    <row r="446" spans="1:4" ht="11.25" customHeight="1" x14ac:dyDescent="0.2">
      <c r="A446" s="21" t="s">
        <v>473</v>
      </c>
      <c r="B446" s="18" t="s">
        <v>583</v>
      </c>
      <c r="C446" s="34" t="s">
        <v>38</v>
      </c>
      <c r="D446" s="54">
        <v>1987.59</v>
      </c>
    </row>
    <row r="447" spans="1:4" ht="11.25" customHeight="1" x14ac:dyDescent="0.2">
      <c r="A447" s="21" t="s">
        <v>474</v>
      </c>
      <c r="B447" s="18" t="s">
        <v>584</v>
      </c>
      <c r="C447" s="34" t="s">
        <v>38</v>
      </c>
      <c r="D447" s="17">
        <v>466.27</v>
      </c>
    </row>
    <row r="448" spans="1:4" ht="11.25" customHeight="1" x14ac:dyDescent="0.2">
      <c r="A448" s="21" t="s">
        <v>475</v>
      </c>
      <c r="B448" s="18" t="s">
        <v>757</v>
      </c>
      <c r="C448" s="34" t="s">
        <v>38</v>
      </c>
      <c r="D448" s="17">
        <v>513.82000000000005</v>
      </c>
    </row>
    <row r="449" spans="1:4" ht="11.25" customHeight="1" x14ac:dyDescent="0.2">
      <c r="A449" s="21" t="s">
        <v>476</v>
      </c>
      <c r="B449" s="24" t="s">
        <v>522</v>
      </c>
      <c r="C449" s="34" t="s">
        <v>38</v>
      </c>
      <c r="D449" s="17">
        <v>0</v>
      </c>
    </row>
    <row r="450" spans="1:4" ht="11.25" hidden="1" customHeight="1" outlineLevel="1" x14ac:dyDescent="0.2">
      <c r="A450" s="21"/>
      <c r="B450" s="15" t="s">
        <v>706</v>
      </c>
      <c r="C450" s="34" t="s">
        <v>38</v>
      </c>
      <c r="D450" s="17">
        <v>15.45</v>
      </c>
    </row>
    <row r="451" spans="1:4" ht="11.25" hidden="1" customHeight="1" outlineLevel="1" x14ac:dyDescent="0.2">
      <c r="A451" s="21"/>
      <c r="B451" s="15" t="s">
        <v>707</v>
      </c>
      <c r="C451" s="34" t="s">
        <v>38</v>
      </c>
      <c r="D451" s="17">
        <v>3.78</v>
      </c>
    </row>
    <row r="452" spans="1:4" ht="11.25" customHeight="1" collapsed="1" x14ac:dyDescent="0.2">
      <c r="A452" s="21" t="s">
        <v>477</v>
      </c>
      <c r="B452" s="24" t="s">
        <v>631</v>
      </c>
      <c r="C452" s="34" t="s">
        <v>38</v>
      </c>
      <c r="D452" s="17">
        <v>635.84</v>
      </c>
    </row>
    <row r="453" spans="1:4" ht="11.25" customHeight="1" x14ac:dyDescent="0.2">
      <c r="A453" s="21" t="s">
        <v>478</v>
      </c>
      <c r="B453" s="18" t="s">
        <v>756</v>
      </c>
      <c r="C453" s="34" t="s">
        <v>38</v>
      </c>
      <c r="D453" s="17">
        <v>526.51</v>
      </c>
    </row>
    <row r="454" spans="1:4" ht="11.25" customHeight="1" x14ac:dyDescent="0.2">
      <c r="A454" s="21" t="s">
        <v>479</v>
      </c>
      <c r="B454" s="18" t="s">
        <v>581</v>
      </c>
      <c r="C454" s="16" t="s">
        <v>38</v>
      </c>
      <c r="D454" s="39">
        <v>3</v>
      </c>
    </row>
    <row r="455" spans="1:4" ht="11.25" customHeight="1" x14ac:dyDescent="0.2">
      <c r="A455" s="21" t="s">
        <v>580</v>
      </c>
      <c r="B455" s="18" t="s">
        <v>697</v>
      </c>
      <c r="C455" s="16" t="s">
        <v>38</v>
      </c>
      <c r="D455" s="39">
        <v>1640.36</v>
      </c>
    </row>
    <row r="456" spans="1:4" ht="11.25" customHeight="1" x14ac:dyDescent="0.2">
      <c r="A456" s="18"/>
      <c r="B456" s="15"/>
      <c r="C456" s="16"/>
      <c r="D456" s="18"/>
    </row>
    <row r="457" spans="1:4" ht="11.25" customHeight="1" x14ac:dyDescent="0.2">
      <c r="A457" s="11">
        <v>22</v>
      </c>
      <c r="B457" s="14" t="s">
        <v>187</v>
      </c>
      <c r="C457" s="9" t="s">
        <v>31</v>
      </c>
      <c r="D457" s="12" t="s">
        <v>32</v>
      </c>
    </row>
    <row r="458" spans="1:4" ht="11.25" customHeight="1" x14ac:dyDescent="0.2">
      <c r="A458" s="36" t="s">
        <v>130</v>
      </c>
      <c r="B458" s="37" t="s">
        <v>113</v>
      </c>
      <c r="C458" s="45"/>
      <c r="D458" s="46"/>
    </row>
    <row r="459" spans="1:4" ht="11.25" customHeight="1" x14ac:dyDescent="0.2">
      <c r="A459" s="26" t="s">
        <v>349</v>
      </c>
      <c r="B459" s="15" t="s">
        <v>343</v>
      </c>
      <c r="C459" s="16" t="s">
        <v>38</v>
      </c>
      <c r="D459" s="55">
        <v>144.72</v>
      </c>
    </row>
    <row r="460" spans="1:4" ht="11.25" customHeight="1" x14ac:dyDescent="0.2">
      <c r="A460" s="26" t="s">
        <v>350</v>
      </c>
      <c r="B460" s="15" t="s">
        <v>344</v>
      </c>
      <c r="C460" s="16" t="s">
        <v>40</v>
      </c>
      <c r="D460" s="54">
        <v>245.35</v>
      </c>
    </row>
    <row r="461" spans="1:4" ht="11.25" customHeight="1" x14ac:dyDescent="0.2">
      <c r="A461" s="26" t="s">
        <v>351</v>
      </c>
      <c r="B461" s="15" t="s">
        <v>345</v>
      </c>
      <c r="C461" s="16" t="s">
        <v>38</v>
      </c>
      <c r="D461" s="17">
        <v>1.69</v>
      </c>
    </row>
    <row r="462" spans="1:4" ht="11.25" customHeight="1" x14ac:dyDescent="0.2">
      <c r="A462" s="26" t="s">
        <v>352</v>
      </c>
      <c r="B462" s="15" t="s">
        <v>346</v>
      </c>
      <c r="C462" s="16" t="s">
        <v>40</v>
      </c>
      <c r="D462" s="17">
        <v>0</v>
      </c>
    </row>
    <row r="463" spans="1:4" ht="11.25" customHeight="1" x14ac:dyDescent="0.2">
      <c r="A463" s="26" t="s">
        <v>353</v>
      </c>
      <c r="B463" s="15" t="s">
        <v>347</v>
      </c>
      <c r="C463" s="16" t="s">
        <v>38</v>
      </c>
      <c r="D463" s="17">
        <v>2.04</v>
      </c>
    </row>
    <row r="464" spans="1:4" ht="11.25" customHeight="1" x14ac:dyDescent="0.2">
      <c r="A464" s="26" t="s">
        <v>354</v>
      </c>
      <c r="B464" s="15" t="s">
        <v>348</v>
      </c>
      <c r="C464" s="16" t="s">
        <v>40</v>
      </c>
      <c r="D464" s="18">
        <v>0</v>
      </c>
    </row>
    <row r="465" spans="1:4" ht="11.25" customHeight="1" x14ac:dyDescent="0.2">
      <c r="A465" s="26"/>
      <c r="B465" s="15"/>
      <c r="C465" s="16"/>
      <c r="D465" s="18"/>
    </row>
    <row r="466" spans="1:4" ht="11.25" customHeight="1" x14ac:dyDescent="0.2">
      <c r="A466" s="36">
        <v>22.2</v>
      </c>
      <c r="B466" s="37" t="s">
        <v>365</v>
      </c>
      <c r="C466" s="45"/>
      <c r="D466" s="46"/>
    </row>
    <row r="467" spans="1:4" ht="11.25" customHeight="1" x14ac:dyDescent="0.2">
      <c r="A467" s="26" t="s">
        <v>356</v>
      </c>
      <c r="B467" s="15" t="s">
        <v>859</v>
      </c>
      <c r="C467" s="16" t="s">
        <v>39</v>
      </c>
      <c r="D467" s="17">
        <v>0</v>
      </c>
    </row>
    <row r="468" spans="1:4" ht="11.25" hidden="1" customHeight="1" outlineLevel="1" x14ac:dyDescent="0.2">
      <c r="A468" s="26"/>
      <c r="B468" s="15" t="s">
        <v>790</v>
      </c>
      <c r="C468" s="16" t="s">
        <v>42</v>
      </c>
      <c r="D468" s="54">
        <v>16</v>
      </c>
    </row>
    <row r="469" spans="1:4" ht="11.25" hidden="1" customHeight="1" outlineLevel="1" x14ac:dyDescent="0.2">
      <c r="A469" s="26"/>
      <c r="B469" s="15" t="s">
        <v>823</v>
      </c>
      <c r="C469" s="16" t="s">
        <v>42</v>
      </c>
      <c r="D469" s="17">
        <v>1</v>
      </c>
    </row>
    <row r="470" spans="1:4" ht="11.25" hidden="1" customHeight="1" outlineLevel="1" x14ac:dyDescent="0.2">
      <c r="A470" s="26"/>
      <c r="B470" s="15" t="s">
        <v>710</v>
      </c>
      <c r="C470" s="16" t="s">
        <v>42</v>
      </c>
      <c r="D470" s="54">
        <v>16</v>
      </c>
    </row>
    <row r="471" spans="1:4" ht="11.25" hidden="1" customHeight="1" outlineLevel="1" x14ac:dyDescent="0.2">
      <c r="A471" s="26"/>
      <c r="B471" s="15" t="s">
        <v>709</v>
      </c>
      <c r="C471" s="16" t="s">
        <v>42</v>
      </c>
      <c r="D471" s="17">
        <v>21</v>
      </c>
    </row>
    <row r="472" spans="1:4" ht="11.25" hidden="1" customHeight="1" outlineLevel="1" x14ac:dyDescent="0.2">
      <c r="A472" s="26"/>
      <c r="B472" s="15" t="s">
        <v>708</v>
      </c>
      <c r="C472" s="16" t="s">
        <v>42</v>
      </c>
      <c r="D472" s="17">
        <v>17</v>
      </c>
    </row>
    <row r="473" spans="1:4" ht="11.25" hidden="1" customHeight="1" outlineLevel="1" x14ac:dyDescent="0.2">
      <c r="A473" s="26"/>
      <c r="B473" s="15" t="s">
        <v>791</v>
      </c>
      <c r="C473" s="16" t="s">
        <v>42</v>
      </c>
      <c r="D473" s="17">
        <v>1</v>
      </c>
    </row>
    <row r="474" spans="1:4" ht="11.25" customHeight="1" collapsed="1" x14ac:dyDescent="0.2">
      <c r="A474" s="26" t="s">
        <v>357</v>
      </c>
      <c r="B474" s="15" t="s">
        <v>588</v>
      </c>
      <c r="C474" s="16" t="s">
        <v>39</v>
      </c>
      <c r="D474" s="17">
        <v>0</v>
      </c>
    </row>
    <row r="475" spans="1:4" ht="11.25" hidden="1" customHeight="1" outlineLevel="1" x14ac:dyDescent="0.2">
      <c r="A475" s="26"/>
      <c r="B475" s="15" t="s">
        <v>752</v>
      </c>
      <c r="C475" s="16" t="s">
        <v>42</v>
      </c>
      <c r="D475" s="17">
        <v>1</v>
      </c>
    </row>
    <row r="476" spans="1:4" ht="11.25" hidden="1" customHeight="1" outlineLevel="1" x14ac:dyDescent="0.2">
      <c r="A476" s="26"/>
      <c r="B476" s="15" t="s">
        <v>716</v>
      </c>
      <c r="C476" s="16" t="s">
        <v>42</v>
      </c>
      <c r="D476" s="17">
        <v>8</v>
      </c>
    </row>
    <row r="477" spans="1:4" ht="11.25" hidden="1" customHeight="1" outlineLevel="1" x14ac:dyDescent="0.2">
      <c r="A477" s="26"/>
      <c r="B477" s="15" t="s">
        <v>717</v>
      </c>
      <c r="C477" s="16" t="s">
        <v>42</v>
      </c>
      <c r="D477" s="17">
        <v>8</v>
      </c>
    </row>
    <row r="478" spans="1:4" ht="11.25" hidden="1" customHeight="1" outlineLevel="1" x14ac:dyDescent="0.2">
      <c r="A478" s="26"/>
      <c r="B478" s="15" t="s">
        <v>718</v>
      </c>
      <c r="C478" s="16" t="s">
        <v>42</v>
      </c>
      <c r="D478" s="17">
        <v>8</v>
      </c>
    </row>
    <row r="479" spans="1:4" ht="11.25" hidden="1" customHeight="1" outlineLevel="1" x14ac:dyDescent="0.2">
      <c r="A479" s="26"/>
      <c r="B479" s="15" t="s">
        <v>719</v>
      </c>
      <c r="C479" s="16" t="s">
        <v>42</v>
      </c>
      <c r="D479" s="17">
        <v>8</v>
      </c>
    </row>
    <row r="480" spans="1:4" ht="11.25" hidden="1" customHeight="1" outlineLevel="1" x14ac:dyDescent="0.2">
      <c r="A480" s="26"/>
      <c r="B480" s="15" t="s">
        <v>824</v>
      </c>
      <c r="C480" s="16" t="s">
        <v>42</v>
      </c>
      <c r="D480" s="17">
        <v>1</v>
      </c>
    </row>
    <row r="481" spans="1:4" ht="11.25" hidden="1" customHeight="1" outlineLevel="1" x14ac:dyDescent="0.2">
      <c r="A481" s="26"/>
      <c r="B481" s="15" t="s">
        <v>825</v>
      </c>
      <c r="C481" s="16" t="s">
        <v>42</v>
      </c>
      <c r="D481" s="17">
        <v>1</v>
      </c>
    </row>
    <row r="482" spans="1:4" ht="11.25" hidden="1" customHeight="1" outlineLevel="1" x14ac:dyDescent="0.2">
      <c r="A482" s="26"/>
      <c r="B482" s="15" t="s">
        <v>711</v>
      </c>
      <c r="C482" s="16" t="s">
        <v>42</v>
      </c>
      <c r="D482" s="17">
        <v>1</v>
      </c>
    </row>
    <row r="483" spans="1:4" ht="11.25" hidden="1" customHeight="1" outlineLevel="1" x14ac:dyDescent="0.2">
      <c r="A483" s="26"/>
      <c r="B483" s="15" t="s">
        <v>712</v>
      </c>
      <c r="C483" s="16" t="s">
        <v>42</v>
      </c>
      <c r="D483" s="17">
        <v>1</v>
      </c>
    </row>
    <row r="484" spans="1:4" ht="11.25" customHeight="1" collapsed="1" x14ac:dyDescent="0.2">
      <c r="A484" s="26" t="s">
        <v>672</v>
      </c>
      <c r="B484" s="15" t="s">
        <v>860</v>
      </c>
      <c r="C484" s="16" t="s">
        <v>39</v>
      </c>
      <c r="D484" s="17">
        <v>0</v>
      </c>
    </row>
    <row r="485" spans="1:4" ht="11.25" hidden="1" customHeight="1" outlineLevel="1" x14ac:dyDescent="0.2">
      <c r="A485" s="26"/>
      <c r="B485" s="15" t="s">
        <v>808</v>
      </c>
      <c r="C485" s="16" t="s">
        <v>42</v>
      </c>
      <c r="D485" s="17">
        <v>7</v>
      </c>
    </row>
    <row r="486" spans="1:4" ht="11.25" hidden="1" customHeight="1" outlineLevel="1" x14ac:dyDescent="0.2">
      <c r="A486" s="26"/>
      <c r="B486" s="15" t="s">
        <v>785</v>
      </c>
      <c r="C486" s="16" t="s">
        <v>42</v>
      </c>
      <c r="D486" s="17">
        <v>7</v>
      </c>
    </row>
    <row r="487" spans="1:4" ht="11.25" hidden="1" customHeight="1" outlineLevel="1" x14ac:dyDescent="0.2">
      <c r="A487" s="26"/>
      <c r="B487" s="15" t="s">
        <v>829</v>
      </c>
      <c r="C487" s="16" t="s">
        <v>42</v>
      </c>
      <c r="D487" s="17">
        <v>1</v>
      </c>
    </row>
    <row r="488" spans="1:4" ht="11.25" hidden="1" customHeight="1" outlineLevel="1" x14ac:dyDescent="0.2">
      <c r="A488" s="26"/>
      <c r="B488" s="15" t="s">
        <v>827</v>
      </c>
      <c r="C488" s="16" t="s">
        <v>42</v>
      </c>
      <c r="D488" s="17">
        <v>1</v>
      </c>
    </row>
    <row r="489" spans="1:4" ht="11.25" hidden="1" customHeight="1" outlineLevel="1" x14ac:dyDescent="0.2">
      <c r="A489" s="26"/>
      <c r="B489" s="15" t="s">
        <v>828</v>
      </c>
      <c r="C489" s="16" t="s">
        <v>42</v>
      </c>
      <c r="D489" s="17">
        <v>1</v>
      </c>
    </row>
    <row r="490" spans="1:4" ht="11.25" hidden="1" customHeight="1" outlineLevel="1" x14ac:dyDescent="0.2">
      <c r="A490" s="26"/>
      <c r="B490" s="15" t="s">
        <v>826</v>
      </c>
      <c r="C490" s="16" t="s">
        <v>42</v>
      </c>
      <c r="D490" s="17">
        <v>1</v>
      </c>
    </row>
    <row r="491" spans="1:4" ht="11.25" customHeight="1" collapsed="1" x14ac:dyDescent="0.2">
      <c r="A491" s="26" t="s">
        <v>673</v>
      </c>
      <c r="B491" s="15" t="s">
        <v>682</v>
      </c>
      <c r="C491" s="16" t="s">
        <v>39</v>
      </c>
      <c r="D491" s="17">
        <v>0</v>
      </c>
    </row>
    <row r="492" spans="1:4" ht="11.25" hidden="1" customHeight="1" outlineLevel="1" x14ac:dyDescent="0.2">
      <c r="A492" s="26"/>
      <c r="B492" s="15" t="s">
        <v>792</v>
      </c>
      <c r="C492" s="16" t="s">
        <v>42</v>
      </c>
      <c r="D492" s="17">
        <v>1</v>
      </c>
    </row>
    <row r="493" spans="1:4" ht="11.25" hidden="1" customHeight="1" outlineLevel="1" x14ac:dyDescent="0.2">
      <c r="A493" s="26"/>
      <c r="B493" s="15" t="s">
        <v>794</v>
      </c>
      <c r="C493" s="16" t="s">
        <v>42</v>
      </c>
      <c r="D493" s="17">
        <v>3</v>
      </c>
    </row>
    <row r="494" spans="1:4" ht="11.25" hidden="1" customHeight="1" outlineLevel="1" x14ac:dyDescent="0.2">
      <c r="A494" s="26"/>
      <c r="B494" s="15" t="s">
        <v>793</v>
      </c>
      <c r="C494" s="16" t="s">
        <v>42</v>
      </c>
      <c r="D494" s="17">
        <v>4</v>
      </c>
    </row>
    <row r="495" spans="1:4" ht="11.25" hidden="1" customHeight="1" outlineLevel="1" x14ac:dyDescent="0.2">
      <c r="A495" s="26"/>
      <c r="B495" s="15" t="s">
        <v>795</v>
      </c>
      <c r="C495" s="16" t="s">
        <v>42</v>
      </c>
      <c r="D495" s="17">
        <v>2</v>
      </c>
    </row>
    <row r="496" spans="1:4" ht="11.25" hidden="1" customHeight="1" outlineLevel="1" x14ac:dyDescent="0.2">
      <c r="A496" s="26"/>
      <c r="B496" s="15" t="s">
        <v>796</v>
      </c>
      <c r="C496" s="16" t="s">
        <v>42</v>
      </c>
      <c r="D496" s="17">
        <v>3</v>
      </c>
    </row>
    <row r="497" spans="1:4" ht="11.25" hidden="1" customHeight="1" outlineLevel="1" x14ac:dyDescent="0.2">
      <c r="A497" s="26"/>
      <c r="B497" s="15" t="s">
        <v>797</v>
      </c>
      <c r="C497" s="16" t="s">
        <v>42</v>
      </c>
      <c r="D497" s="17">
        <v>1</v>
      </c>
    </row>
    <row r="498" spans="1:4" ht="11.25" hidden="1" customHeight="1" outlineLevel="1" x14ac:dyDescent="0.2">
      <c r="A498" s="26"/>
      <c r="B498" s="15" t="s">
        <v>798</v>
      </c>
      <c r="C498" s="16" t="s">
        <v>42</v>
      </c>
      <c r="D498" s="17">
        <v>3</v>
      </c>
    </row>
    <row r="499" spans="1:4" ht="11.25" hidden="1" customHeight="1" outlineLevel="1" x14ac:dyDescent="0.2">
      <c r="A499" s="26"/>
      <c r="B499" s="15" t="s">
        <v>799</v>
      </c>
      <c r="C499" s="16" t="s">
        <v>42</v>
      </c>
      <c r="D499" s="17">
        <v>2</v>
      </c>
    </row>
    <row r="500" spans="1:4" ht="11.25" hidden="1" customHeight="1" outlineLevel="1" x14ac:dyDescent="0.2">
      <c r="A500" s="26"/>
      <c r="B500" s="15" t="s">
        <v>800</v>
      </c>
      <c r="C500" s="16" t="s">
        <v>42</v>
      </c>
      <c r="D500" s="17">
        <v>1</v>
      </c>
    </row>
    <row r="501" spans="1:4" ht="11.25" hidden="1" customHeight="1" outlineLevel="1" x14ac:dyDescent="0.2">
      <c r="A501" s="26"/>
      <c r="B501" s="15" t="s">
        <v>801</v>
      </c>
      <c r="C501" s="16" t="s">
        <v>42</v>
      </c>
      <c r="D501" s="17">
        <v>1</v>
      </c>
    </row>
    <row r="502" spans="1:4" ht="11.25" hidden="1" customHeight="1" outlineLevel="1" x14ac:dyDescent="0.2">
      <c r="A502" s="26"/>
      <c r="B502" s="15" t="s">
        <v>802</v>
      </c>
      <c r="C502" s="16" t="s">
        <v>42</v>
      </c>
      <c r="D502" s="17">
        <v>1</v>
      </c>
    </row>
    <row r="503" spans="1:4" ht="11.25" hidden="1" customHeight="1" outlineLevel="1" x14ac:dyDescent="0.2">
      <c r="A503" s="26"/>
      <c r="B503" s="15" t="s">
        <v>803</v>
      </c>
      <c r="C503" s="16" t="s">
        <v>42</v>
      </c>
      <c r="D503" s="17">
        <v>4</v>
      </c>
    </row>
    <row r="504" spans="1:4" ht="11.25" hidden="1" customHeight="1" outlineLevel="1" x14ac:dyDescent="0.2">
      <c r="A504" s="26"/>
      <c r="B504" s="15" t="s">
        <v>804</v>
      </c>
      <c r="C504" s="16" t="s">
        <v>42</v>
      </c>
      <c r="D504" s="17">
        <v>7</v>
      </c>
    </row>
    <row r="505" spans="1:4" ht="11.25" hidden="1" customHeight="1" outlineLevel="1" x14ac:dyDescent="0.2">
      <c r="A505" s="26"/>
      <c r="B505" s="15" t="s">
        <v>805</v>
      </c>
      <c r="C505" s="16" t="s">
        <v>42</v>
      </c>
      <c r="D505" s="17">
        <v>5</v>
      </c>
    </row>
    <row r="506" spans="1:4" ht="11.25" hidden="1" customHeight="1" outlineLevel="1" x14ac:dyDescent="0.2">
      <c r="A506" s="26"/>
      <c r="B506" s="15" t="s">
        <v>806</v>
      </c>
      <c r="C506" s="16" t="s">
        <v>42</v>
      </c>
      <c r="D506" s="17">
        <v>7</v>
      </c>
    </row>
    <row r="507" spans="1:4" ht="11.25" hidden="1" customHeight="1" outlineLevel="1" x14ac:dyDescent="0.2">
      <c r="A507" s="26"/>
      <c r="B507" s="15" t="s">
        <v>807</v>
      </c>
      <c r="C507" s="16" t="s">
        <v>42</v>
      </c>
      <c r="D507" s="17">
        <v>1</v>
      </c>
    </row>
    <row r="508" spans="1:4" ht="11.25" hidden="1" customHeight="1" outlineLevel="1" x14ac:dyDescent="0.2">
      <c r="A508" s="26"/>
      <c r="B508" s="15" t="s">
        <v>809</v>
      </c>
      <c r="C508" s="16" t="s">
        <v>42</v>
      </c>
      <c r="D508" s="54">
        <v>6</v>
      </c>
    </row>
    <row r="509" spans="1:4" ht="11.25" hidden="1" customHeight="1" outlineLevel="1" x14ac:dyDescent="0.2">
      <c r="A509" s="26"/>
      <c r="B509" s="15" t="s">
        <v>810</v>
      </c>
      <c r="C509" s="16" t="s">
        <v>42</v>
      </c>
      <c r="D509" s="17">
        <v>8</v>
      </c>
    </row>
    <row r="510" spans="1:4" ht="11.25" hidden="1" customHeight="1" outlineLevel="1" x14ac:dyDescent="0.2">
      <c r="A510" s="26"/>
      <c r="B510" s="15" t="s">
        <v>811</v>
      </c>
      <c r="C510" s="16" t="s">
        <v>42</v>
      </c>
      <c r="D510" s="17">
        <v>1</v>
      </c>
    </row>
    <row r="511" spans="1:4" ht="11.25" hidden="1" customHeight="1" outlineLevel="1" x14ac:dyDescent="0.2">
      <c r="A511" s="26"/>
      <c r="B511" s="15" t="s">
        <v>812</v>
      </c>
      <c r="C511" s="16" t="s">
        <v>42</v>
      </c>
      <c r="D511" s="17">
        <v>1</v>
      </c>
    </row>
    <row r="512" spans="1:4" ht="11.25" hidden="1" customHeight="1" outlineLevel="1" x14ac:dyDescent="0.2">
      <c r="A512" s="26"/>
      <c r="B512" s="15" t="s">
        <v>831</v>
      </c>
      <c r="C512" s="16" t="s">
        <v>42</v>
      </c>
      <c r="D512" s="17">
        <v>1</v>
      </c>
    </row>
    <row r="513" spans="1:4" ht="11.25" hidden="1" customHeight="1" outlineLevel="1" x14ac:dyDescent="0.2">
      <c r="A513" s="26"/>
      <c r="B513" s="15" t="s">
        <v>830</v>
      </c>
      <c r="C513" s="16" t="s">
        <v>42</v>
      </c>
      <c r="D513" s="17">
        <v>1</v>
      </c>
    </row>
    <row r="514" spans="1:4" ht="11.25" hidden="1" customHeight="1" outlineLevel="1" x14ac:dyDescent="0.2">
      <c r="A514" s="26"/>
      <c r="B514" s="15" t="s">
        <v>832</v>
      </c>
      <c r="C514" s="16" t="s">
        <v>42</v>
      </c>
      <c r="D514" s="17">
        <v>2</v>
      </c>
    </row>
    <row r="515" spans="1:4" ht="11.25" hidden="1" customHeight="1" outlineLevel="1" x14ac:dyDescent="0.2">
      <c r="A515" s="26"/>
      <c r="B515" s="15" t="s">
        <v>833</v>
      </c>
      <c r="C515" s="16" t="s">
        <v>42</v>
      </c>
      <c r="D515" s="17">
        <v>2</v>
      </c>
    </row>
    <row r="516" spans="1:4" ht="11.25" hidden="1" customHeight="1" outlineLevel="1" x14ac:dyDescent="0.2">
      <c r="A516" s="26"/>
      <c r="B516" s="15" t="s">
        <v>834</v>
      </c>
      <c r="C516" s="16" t="s">
        <v>42</v>
      </c>
      <c r="D516" s="17">
        <v>1</v>
      </c>
    </row>
    <row r="517" spans="1:4" ht="11.25" customHeight="1" collapsed="1" x14ac:dyDescent="0.2">
      <c r="A517" s="26" t="s">
        <v>674</v>
      </c>
      <c r="B517" s="15" t="s">
        <v>366</v>
      </c>
      <c r="C517" s="16" t="s">
        <v>39</v>
      </c>
      <c r="D517" s="17">
        <v>0</v>
      </c>
    </row>
    <row r="518" spans="1:4" ht="11.25" hidden="1" customHeight="1" outlineLevel="1" x14ac:dyDescent="0.2">
      <c r="A518" s="26"/>
      <c r="B518" s="15" t="s">
        <v>636</v>
      </c>
      <c r="C518" s="16" t="s">
        <v>42</v>
      </c>
      <c r="D518" s="17">
        <v>1</v>
      </c>
    </row>
    <row r="519" spans="1:4" ht="11.25" hidden="1" customHeight="1" outlineLevel="1" x14ac:dyDescent="0.2">
      <c r="A519" s="26"/>
      <c r="B519" s="15" t="s">
        <v>683</v>
      </c>
      <c r="C519" s="16" t="s">
        <v>42</v>
      </c>
      <c r="D519" s="17">
        <v>1</v>
      </c>
    </row>
    <row r="520" spans="1:4" ht="11.25" hidden="1" customHeight="1" outlineLevel="1" x14ac:dyDescent="0.2">
      <c r="A520" s="26"/>
      <c r="B520" s="15" t="s">
        <v>720</v>
      </c>
      <c r="C520" s="16" t="s">
        <v>42</v>
      </c>
      <c r="D520" s="17">
        <v>1</v>
      </c>
    </row>
    <row r="521" spans="1:4" ht="11.25" hidden="1" customHeight="1" outlineLevel="1" x14ac:dyDescent="0.2">
      <c r="A521" s="26"/>
      <c r="B521" s="15" t="s">
        <v>642</v>
      </c>
      <c r="C521" s="16" t="s">
        <v>42</v>
      </c>
      <c r="D521" s="17">
        <v>1</v>
      </c>
    </row>
    <row r="522" spans="1:4" ht="11.25" hidden="1" customHeight="1" outlineLevel="1" x14ac:dyDescent="0.2">
      <c r="A522" s="26"/>
      <c r="B522" s="15" t="s">
        <v>849</v>
      </c>
      <c r="C522" s="16" t="s">
        <v>42</v>
      </c>
      <c r="D522" s="17">
        <v>1</v>
      </c>
    </row>
    <row r="523" spans="1:4" ht="11.25" customHeight="1" collapsed="1" x14ac:dyDescent="0.2">
      <c r="A523" s="26"/>
      <c r="B523" s="15"/>
      <c r="C523" s="16"/>
      <c r="D523" s="17"/>
    </row>
    <row r="524" spans="1:4" ht="11.25" customHeight="1" x14ac:dyDescent="0.2">
      <c r="A524" s="36" t="s">
        <v>355</v>
      </c>
      <c r="B524" s="37" t="s">
        <v>367</v>
      </c>
      <c r="C524" s="45"/>
      <c r="D524" s="46"/>
    </row>
    <row r="525" spans="1:4" ht="11.25" customHeight="1" x14ac:dyDescent="0.2">
      <c r="A525" s="26" t="s">
        <v>359</v>
      </c>
      <c r="B525" s="38" t="s">
        <v>760</v>
      </c>
      <c r="C525" s="16" t="s">
        <v>39</v>
      </c>
      <c r="D525" s="17">
        <v>1</v>
      </c>
    </row>
    <row r="526" spans="1:4" ht="11.25" hidden="1" customHeight="1" outlineLevel="1" x14ac:dyDescent="0.2">
      <c r="A526" s="26"/>
      <c r="B526" s="25" t="s">
        <v>364</v>
      </c>
      <c r="C526" s="16" t="s">
        <v>42</v>
      </c>
      <c r="D526" s="17">
        <v>1</v>
      </c>
    </row>
    <row r="527" spans="1:4" ht="11.25" hidden="1" customHeight="1" outlineLevel="1" x14ac:dyDescent="0.2">
      <c r="A527" s="26"/>
      <c r="B527" s="25" t="s">
        <v>131</v>
      </c>
      <c r="C527" s="16" t="s">
        <v>42</v>
      </c>
      <c r="D527" s="17">
        <v>18</v>
      </c>
    </row>
    <row r="528" spans="1:4" ht="11.25" hidden="1" customHeight="1" outlineLevel="1" x14ac:dyDescent="0.2">
      <c r="A528" s="26"/>
      <c r="B528" s="25" t="s">
        <v>363</v>
      </c>
      <c r="C528" s="16" t="s">
        <v>42</v>
      </c>
      <c r="D528" s="17">
        <v>18</v>
      </c>
    </row>
    <row r="529" spans="1:4" ht="11.25" hidden="1" customHeight="1" outlineLevel="1" x14ac:dyDescent="0.2">
      <c r="A529" s="26"/>
      <c r="B529" s="53" t="s">
        <v>748</v>
      </c>
      <c r="C529" s="16" t="s">
        <v>42</v>
      </c>
      <c r="D529" s="17">
        <v>17</v>
      </c>
    </row>
    <row r="530" spans="1:4" ht="11.25" hidden="1" customHeight="1" outlineLevel="1" x14ac:dyDescent="0.2">
      <c r="A530" s="26"/>
      <c r="B530" s="25" t="s">
        <v>819</v>
      </c>
      <c r="C530" s="16" t="s">
        <v>42</v>
      </c>
      <c r="D530" s="17">
        <v>3</v>
      </c>
    </row>
    <row r="531" spans="1:4" ht="11.25" hidden="1" customHeight="1" outlineLevel="1" x14ac:dyDescent="0.2">
      <c r="A531" s="26"/>
      <c r="B531" s="25" t="s">
        <v>650</v>
      </c>
      <c r="C531" s="16" t="s">
        <v>42</v>
      </c>
      <c r="D531" s="17">
        <v>1</v>
      </c>
    </row>
    <row r="532" spans="1:4" ht="11.25" hidden="1" customHeight="1" outlineLevel="1" x14ac:dyDescent="0.2">
      <c r="A532" s="26"/>
      <c r="B532" s="25" t="s">
        <v>651</v>
      </c>
      <c r="C532" s="16" t="s">
        <v>42</v>
      </c>
      <c r="D532" s="17">
        <v>17</v>
      </c>
    </row>
    <row r="533" spans="1:4" ht="11.25" customHeight="1" collapsed="1" x14ac:dyDescent="0.2">
      <c r="A533" s="26" t="s">
        <v>360</v>
      </c>
      <c r="B533" s="25" t="s">
        <v>761</v>
      </c>
      <c r="C533" s="16" t="s">
        <v>39</v>
      </c>
      <c r="D533" s="17">
        <v>0</v>
      </c>
    </row>
    <row r="534" spans="1:4" ht="11.25" hidden="1" customHeight="1" outlineLevel="1" x14ac:dyDescent="0.2">
      <c r="B534" s="25" t="s">
        <v>721</v>
      </c>
      <c r="C534" s="16" t="s">
        <v>42</v>
      </c>
      <c r="D534" s="17">
        <v>6</v>
      </c>
    </row>
    <row r="535" spans="1:4" ht="11.25" hidden="1" customHeight="1" outlineLevel="1" x14ac:dyDescent="0.2">
      <c r="A535" s="26"/>
      <c r="B535" s="25" t="s">
        <v>722</v>
      </c>
      <c r="C535" s="16" t="s">
        <v>42</v>
      </c>
      <c r="D535" s="17">
        <v>14</v>
      </c>
    </row>
    <row r="536" spans="1:4" ht="11.25" hidden="1" customHeight="1" outlineLevel="1" x14ac:dyDescent="0.2">
      <c r="A536" s="26"/>
      <c r="B536" s="25" t="s">
        <v>723</v>
      </c>
      <c r="C536" s="16" t="s">
        <v>42</v>
      </c>
      <c r="D536" s="17">
        <v>3</v>
      </c>
    </row>
    <row r="537" spans="1:4" ht="11.25" hidden="1" customHeight="1" outlineLevel="1" x14ac:dyDescent="0.2">
      <c r="A537" s="26"/>
      <c r="B537" s="25" t="s">
        <v>724</v>
      </c>
      <c r="C537" s="16" t="s">
        <v>42</v>
      </c>
      <c r="D537" s="17">
        <v>8</v>
      </c>
    </row>
    <row r="538" spans="1:4" ht="11.25" hidden="1" customHeight="1" outlineLevel="1" x14ac:dyDescent="0.2">
      <c r="B538" s="25" t="s">
        <v>637</v>
      </c>
      <c r="C538" s="16" t="s">
        <v>42</v>
      </c>
      <c r="D538" s="17">
        <v>2</v>
      </c>
    </row>
    <row r="539" spans="1:4" ht="11.25" hidden="1" customHeight="1" outlineLevel="1" x14ac:dyDescent="0.2">
      <c r="A539" s="26"/>
      <c r="B539" s="25" t="s">
        <v>638</v>
      </c>
      <c r="C539" s="16" t="s">
        <v>42</v>
      </c>
      <c r="D539" s="17">
        <v>4</v>
      </c>
    </row>
    <row r="540" spans="1:4" ht="11.25" hidden="1" customHeight="1" outlineLevel="1" x14ac:dyDescent="0.2">
      <c r="A540" s="26"/>
      <c r="B540" s="25" t="s">
        <v>639</v>
      </c>
      <c r="C540" s="16" t="s">
        <v>42</v>
      </c>
      <c r="D540" s="17">
        <v>2</v>
      </c>
    </row>
    <row r="541" spans="1:4" ht="11.25" hidden="1" customHeight="1" outlineLevel="1" x14ac:dyDescent="0.2">
      <c r="A541" s="26"/>
      <c r="B541" s="25" t="s">
        <v>641</v>
      </c>
      <c r="C541" s="16" t="s">
        <v>42</v>
      </c>
      <c r="D541" s="17">
        <v>2</v>
      </c>
    </row>
    <row r="542" spans="1:4" ht="11.25" hidden="1" customHeight="1" outlineLevel="1" x14ac:dyDescent="0.2">
      <c r="A542" s="26"/>
      <c r="B542" s="25" t="s">
        <v>640</v>
      </c>
      <c r="C542" s="16" t="s">
        <v>42</v>
      </c>
      <c r="D542" s="17">
        <v>2</v>
      </c>
    </row>
    <row r="543" spans="1:4" ht="11.25" hidden="1" customHeight="1" outlineLevel="1" x14ac:dyDescent="0.2">
      <c r="A543" s="26"/>
      <c r="B543" s="25" t="s">
        <v>675</v>
      </c>
      <c r="C543" s="16" t="s">
        <v>42</v>
      </c>
      <c r="D543" s="17">
        <v>2</v>
      </c>
    </row>
    <row r="544" spans="1:4" ht="11.25" hidden="1" customHeight="1" outlineLevel="1" x14ac:dyDescent="0.2">
      <c r="A544" s="26"/>
      <c r="B544" s="25" t="s">
        <v>633</v>
      </c>
      <c r="C544" s="16" t="s">
        <v>42</v>
      </c>
      <c r="D544" s="17">
        <v>1</v>
      </c>
    </row>
    <row r="545" spans="1:4" ht="11.25" hidden="1" customHeight="1" outlineLevel="1" x14ac:dyDescent="0.2">
      <c r="A545" s="26"/>
      <c r="B545" s="25" t="s">
        <v>634</v>
      </c>
      <c r="C545" s="16" t="s">
        <v>42</v>
      </c>
      <c r="D545" s="17">
        <v>1</v>
      </c>
    </row>
    <row r="546" spans="1:4" ht="11.25" hidden="1" customHeight="1" outlineLevel="1" x14ac:dyDescent="0.2">
      <c r="A546" s="26"/>
      <c r="B546" s="25" t="s">
        <v>644</v>
      </c>
      <c r="C546" s="16" t="s">
        <v>42</v>
      </c>
      <c r="D546" s="17">
        <v>2</v>
      </c>
    </row>
    <row r="547" spans="1:4" ht="11.25" hidden="1" customHeight="1" outlineLevel="1" x14ac:dyDescent="0.2">
      <c r="B547" s="25" t="s">
        <v>643</v>
      </c>
      <c r="C547" s="16" t="s">
        <v>42</v>
      </c>
      <c r="D547" s="17">
        <v>1</v>
      </c>
    </row>
    <row r="548" spans="1:4" ht="11.25" hidden="1" customHeight="1" outlineLevel="1" x14ac:dyDescent="0.2">
      <c r="A548" s="26"/>
      <c r="B548" s="25" t="s">
        <v>635</v>
      </c>
      <c r="C548" s="16" t="s">
        <v>42</v>
      </c>
      <c r="D548" s="17">
        <v>1</v>
      </c>
    </row>
    <row r="549" spans="1:4" ht="11.25" hidden="1" customHeight="1" outlineLevel="1" x14ac:dyDescent="0.2">
      <c r="A549" s="26"/>
      <c r="B549" s="25" t="s">
        <v>848</v>
      </c>
      <c r="C549" s="16" t="s">
        <v>42</v>
      </c>
      <c r="D549" s="17">
        <v>2</v>
      </c>
    </row>
    <row r="550" spans="1:4" ht="11.25" customHeight="1" collapsed="1" x14ac:dyDescent="0.2">
      <c r="A550" s="26" t="s">
        <v>361</v>
      </c>
      <c r="B550" s="25" t="s">
        <v>368</v>
      </c>
      <c r="C550" s="16" t="s">
        <v>39</v>
      </c>
      <c r="D550" s="17">
        <v>0</v>
      </c>
    </row>
    <row r="551" spans="1:4" ht="11.25" hidden="1" customHeight="1" outlineLevel="1" x14ac:dyDescent="0.2">
      <c r="A551" s="26"/>
      <c r="B551" s="25" t="s">
        <v>645</v>
      </c>
      <c r="C551" s="16" t="s">
        <v>42</v>
      </c>
      <c r="D551" s="17">
        <v>1</v>
      </c>
    </row>
    <row r="552" spans="1:4" ht="11.25" hidden="1" customHeight="1" outlineLevel="1" x14ac:dyDescent="0.2">
      <c r="A552" s="26"/>
      <c r="B552" s="25" t="s">
        <v>646</v>
      </c>
      <c r="C552" s="16" t="s">
        <v>42</v>
      </c>
      <c r="D552" s="17">
        <v>2</v>
      </c>
    </row>
    <row r="553" spans="1:4" ht="11.25" hidden="1" customHeight="1" outlineLevel="1" x14ac:dyDescent="0.2">
      <c r="A553" s="26"/>
      <c r="B553" s="25" t="s">
        <v>647</v>
      </c>
      <c r="C553" s="16" t="s">
        <v>42</v>
      </c>
      <c r="D553" s="17">
        <v>1</v>
      </c>
    </row>
    <row r="554" spans="1:4" ht="11.25" hidden="1" customHeight="1" outlineLevel="1" x14ac:dyDescent="0.2">
      <c r="A554" s="26"/>
      <c r="B554" s="25" t="s">
        <v>649</v>
      </c>
      <c r="C554" s="16" t="s">
        <v>42</v>
      </c>
      <c r="D554" s="17">
        <v>1</v>
      </c>
    </row>
    <row r="555" spans="1:4" ht="11.25" hidden="1" customHeight="1" outlineLevel="1" x14ac:dyDescent="0.2">
      <c r="A555" s="26"/>
      <c r="B555" s="25" t="s">
        <v>648</v>
      </c>
      <c r="C555" s="16" t="s">
        <v>42</v>
      </c>
      <c r="D555" s="17">
        <v>1</v>
      </c>
    </row>
    <row r="556" spans="1:4" ht="11.25" customHeight="1" collapsed="1" x14ac:dyDescent="0.2">
      <c r="A556" s="26" t="s">
        <v>362</v>
      </c>
      <c r="B556" s="25" t="s">
        <v>369</v>
      </c>
      <c r="C556" s="16" t="s">
        <v>39</v>
      </c>
      <c r="D556" s="17">
        <v>0</v>
      </c>
    </row>
    <row r="557" spans="1:4" ht="11.25" hidden="1" customHeight="1" outlineLevel="1" x14ac:dyDescent="0.2">
      <c r="A557" s="26"/>
      <c r="B557" s="25" t="s">
        <v>725</v>
      </c>
      <c r="C557" s="16" t="s">
        <v>42</v>
      </c>
      <c r="D557" s="17">
        <v>13</v>
      </c>
    </row>
    <row r="558" spans="1:4" ht="11.25" customHeight="1" collapsed="1" x14ac:dyDescent="0.2">
      <c r="A558" s="36" t="s">
        <v>358</v>
      </c>
      <c r="B558" s="37" t="s">
        <v>370</v>
      </c>
      <c r="C558" s="43" t="s">
        <v>39</v>
      </c>
      <c r="D558" s="51">
        <v>1</v>
      </c>
    </row>
    <row r="559" spans="1:4" ht="11.25" customHeight="1" outlineLevel="1" x14ac:dyDescent="0.2">
      <c r="A559" s="26"/>
      <c r="B559" s="15" t="s">
        <v>632</v>
      </c>
      <c r="C559" s="16" t="s">
        <v>42</v>
      </c>
      <c r="D559" s="17">
        <v>13</v>
      </c>
    </row>
    <row r="560" spans="1:4" ht="11.25" customHeight="1" x14ac:dyDescent="0.2">
      <c r="A560" s="18"/>
      <c r="B560" s="15"/>
      <c r="C560" s="16"/>
      <c r="D560" s="18"/>
    </row>
    <row r="561" spans="1:4" ht="11.25" customHeight="1" x14ac:dyDescent="0.2">
      <c r="A561" s="11">
        <v>23</v>
      </c>
      <c r="B561" s="14" t="s">
        <v>186</v>
      </c>
      <c r="C561" s="9" t="s">
        <v>31</v>
      </c>
      <c r="D561" s="12" t="s">
        <v>32</v>
      </c>
    </row>
    <row r="562" spans="1:4" ht="11.25" customHeight="1" x14ac:dyDescent="0.2">
      <c r="A562" s="26" t="s">
        <v>129</v>
      </c>
      <c r="B562" s="15" t="s">
        <v>371</v>
      </c>
      <c r="C562" s="16" t="s">
        <v>39</v>
      </c>
      <c r="D562" s="17">
        <v>0</v>
      </c>
    </row>
    <row r="563" spans="1:4" ht="11.25" hidden="1" customHeight="1" outlineLevel="1" x14ac:dyDescent="0.2">
      <c r="A563" s="26"/>
      <c r="B563" s="15" t="s">
        <v>726</v>
      </c>
      <c r="C563" s="16" t="s">
        <v>42</v>
      </c>
      <c r="D563" s="17">
        <v>19</v>
      </c>
    </row>
    <row r="564" spans="1:4" ht="11.25" hidden="1" customHeight="1" outlineLevel="1" x14ac:dyDescent="0.2">
      <c r="A564" s="26"/>
      <c r="B564" s="15" t="s">
        <v>727</v>
      </c>
      <c r="C564" s="16" t="s">
        <v>42</v>
      </c>
      <c r="D564" s="17">
        <v>20</v>
      </c>
    </row>
    <row r="565" spans="1:4" ht="11.25" hidden="1" customHeight="1" outlineLevel="1" x14ac:dyDescent="0.2">
      <c r="A565" s="26"/>
      <c r="B565" s="15" t="s">
        <v>728</v>
      </c>
      <c r="C565" s="16" t="s">
        <v>42</v>
      </c>
      <c r="D565" s="17">
        <v>17</v>
      </c>
    </row>
    <row r="566" spans="1:4" ht="11.25" hidden="1" customHeight="1" outlineLevel="1" x14ac:dyDescent="0.2">
      <c r="A566" s="26"/>
      <c r="B566" s="15" t="s">
        <v>822</v>
      </c>
      <c r="C566" s="16" t="s">
        <v>42</v>
      </c>
      <c r="D566" s="17">
        <v>1</v>
      </c>
    </row>
    <row r="567" spans="1:4" ht="11.25" customHeight="1" collapsed="1" x14ac:dyDescent="0.2">
      <c r="A567" s="26" t="s">
        <v>134</v>
      </c>
      <c r="B567" s="15" t="s">
        <v>372</v>
      </c>
      <c r="C567" s="16" t="s">
        <v>38</v>
      </c>
      <c r="D567" s="17">
        <v>0</v>
      </c>
    </row>
    <row r="568" spans="1:4" ht="11.25" customHeight="1" x14ac:dyDescent="0.2">
      <c r="A568" s="26" t="s">
        <v>146</v>
      </c>
      <c r="B568" s="15" t="s">
        <v>762</v>
      </c>
      <c r="C568" s="16" t="s">
        <v>42</v>
      </c>
      <c r="D568" s="17">
        <v>0</v>
      </c>
    </row>
    <row r="569" spans="1:4" ht="11.25" hidden="1" customHeight="1" outlineLevel="1" x14ac:dyDescent="0.2">
      <c r="A569" s="26"/>
      <c r="B569" s="15" t="s">
        <v>729</v>
      </c>
      <c r="C569" s="16" t="s">
        <v>42</v>
      </c>
      <c r="D569" s="17">
        <v>36</v>
      </c>
    </row>
    <row r="570" spans="1:4" ht="11.25" customHeight="1" collapsed="1" x14ac:dyDescent="0.2">
      <c r="A570" s="26" t="s">
        <v>147</v>
      </c>
      <c r="B570" s="15" t="s">
        <v>373</v>
      </c>
      <c r="C570" s="16" t="s">
        <v>38</v>
      </c>
      <c r="D570" s="17">
        <v>0</v>
      </c>
    </row>
    <row r="571" spans="1:4" ht="11.25" customHeight="1" x14ac:dyDescent="0.2">
      <c r="A571" s="26" t="s">
        <v>148</v>
      </c>
      <c r="B571" s="15" t="s">
        <v>374</v>
      </c>
      <c r="C571" s="16" t="s">
        <v>38</v>
      </c>
      <c r="D571" s="17">
        <v>0</v>
      </c>
    </row>
    <row r="572" spans="1:4" ht="11.25" customHeight="1" x14ac:dyDescent="0.2">
      <c r="A572" s="18"/>
      <c r="B572" s="15"/>
      <c r="C572" s="16"/>
      <c r="D572" s="18"/>
    </row>
    <row r="573" spans="1:4" ht="11.25" customHeight="1" x14ac:dyDescent="0.2">
      <c r="A573" s="11">
        <v>24</v>
      </c>
      <c r="B573" s="14" t="s">
        <v>185</v>
      </c>
      <c r="C573" s="9" t="s">
        <v>31</v>
      </c>
      <c r="D573" s="12" t="s">
        <v>32</v>
      </c>
    </row>
    <row r="574" spans="1:4" ht="11.25" customHeight="1" x14ac:dyDescent="0.2">
      <c r="A574" s="26" t="s">
        <v>127</v>
      </c>
      <c r="B574" s="15" t="s">
        <v>379</v>
      </c>
      <c r="C574" s="16" t="s">
        <v>39</v>
      </c>
      <c r="D574" s="17">
        <v>1</v>
      </c>
    </row>
    <row r="575" spans="1:4" ht="11.25" customHeight="1" x14ac:dyDescent="0.2">
      <c r="A575" s="30" t="s">
        <v>128</v>
      </c>
      <c r="B575" s="20" t="s">
        <v>149</v>
      </c>
      <c r="C575" s="16" t="s">
        <v>39</v>
      </c>
      <c r="D575" s="17">
        <v>1</v>
      </c>
    </row>
    <row r="576" spans="1:4" ht="11.25" customHeight="1" x14ac:dyDescent="0.2">
      <c r="A576" s="26" t="s">
        <v>375</v>
      </c>
      <c r="B576" s="25" t="s">
        <v>380</v>
      </c>
      <c r="C576" s="16" t="s">
        <v>39</v>
      </c>
      <c r="D576" s="17">
        <v>2</v>
      </c>
    </row>
    <row r="577" spans="1:4" ht="11.25" customHeight="1" x14ac:dyDescent="0.2">
      <c r="A577" s="26" t="s">
        <v>376</v>
      </c>
      <c r="B577" s="25" t="s">
        <v>381</v>
      </c>
      <c r="C577" s="34" t="s">
        <v>39</v>
      </c>
      <c r="D577" s="17">
        <v>0</v>
      </c>
    </row>
    <row r="578" spans="1:4" ht="11.25" customHeight="1" x14ac:dyDescent="0.2">
      <c r="A578" s="26" t="s">
        <v>377</v>
      </c>
      <c r="B578" s="25" t="s">
        <v>151</v>
      </c>
      <c r="C578" s="34" t="s">
        <v>39</v>
      </c>
      <c r="D578" s="17">
        <v>1</v>
      </c>
    </row>
    <row r="579" spans="1:4" x14ac:dyDescent="0.2">
      <c r="A579" s="26" t="s">
        <v>378</v>
      </c>
      <c r="B579" s="20" t="s">
        <v>390</v>
      </c>
      <c r="C579" s="16" t="s">
        <v>39</v>
      </c>
      <c r="D579" s="17">
        <v>1</v>
      </c>
    </row>
    <row r="580" spans="1:4" ht="11.25" customHeight="1" x14ac:dyDescent="0.2">
      <c r="A580" s="18"/>
      <c r="B580" s="15"/>
      <c r="C580" s="16"/>
      <c r="D580" s="18"/>
    </row>
    <row r="581" spans="1:4" ht="11.25" customHeight="1" x14ac:dyDescent="0.2">
      <c r="A581" s="11">
        <v>25</v>
      </c>
      <c r="B581" s="14" t="s">
        <v>142</v>
      </c>
      <c r="C581" s="9" t="s">
        <v>31</v>
      </c>
      <c r="D581" s="12" t="s">
        <v>32</v>
      </c>
    </row>
    <row r="582" spans="1:4" ht="11.25" customHeight="1" x14ac:dyDescent="0.2">
      <c r="A582" s="26" t="s">
        <v>132</v>
      </c>
      <c r="B582" s="25" t="s">
        <v>382</v>
      </c>
      <c r="C582" s="34" t="s">
        <v>42</v>
      </c>
      <c r="D582" s="17">
        <v>1</v>
      </c>
    </row>
    <row r="583" spans="1:4" ht="11.25" customHeight="1" x14ac:dyDescent="0.2">
      <c r="A583" s="26" t="s">
        <v>133</v>
      </c>
      <c r="B583" s="15" t="s">
        <v>383</v>
      </c>
      <c r="C583" s="16" t="s">
        <v>42</v>
      </c>
      <c r="D583" s="28">
        <v>62</v>
      </c>
    </row>
    <row r="584" spans="1:4" ht="11.25" customHeight="1" x14ac:dyDescent="0.2">
      <c r="A584" s="26" t="s">
        <v>387</v>
      </c>
      <c r="B584" s="15" t="s">
        <v>384</v>
      </c>
      <c r="C584" s="16" t="s">
        <v>42</v>
      </c>
      <c r="D584" s="28">
        <v>40</v>
      </c>
    </row>
    <row r="585" spans="1:4" ht="11.25" customHeight="1" x14ac:dyDescent="0.2">
      <c r="A585" s="26" t="s">
        <v>388</v>
      </c>
      <c r="B585" s="15" t="s">
        <v>385</v>
      </c>
      <c r="C585" s="16" t="s">
        <v>42</v>
      </c>
      <c r="D585" s="28">
        <v>18</v>
      </c>
    </row>
    <row r="586" spans="1:4" ht="11.25" customHeight="1" x14ac:dyDescent="0.2">
      <c r="A586" s="26" t="s">
        <v>389</v>
      </c>
      <c r="B586" s="29" t="s">
        <v>386</v>
      </c>
      <c r="C586" s="16" t="s">
        <v>42</v>
      </c>
      <c r="D586" s="28">
        <v>58</v>
      </c>
    </row>
    <row r="587" spans="1:4" x14ac:dyDescent="0.2">
      <c r="B587" s="47"/>
    </row>
  </sheetData>
  <autoFilter ref="A6:D586" xr:uid="{00000000-0009-0000-0000-000000000000}"/>
  <phoneticPr fontId="1" type="noConversion"/>
  <conditionalFormatting sqref="D2">
    <cfRule type="cellIs" dxfId="2" priority="7" operator="equal">
      <formula>"Gerencia Financiera"</formula>
    </cfRule>
    <cfRule type="cellIs" dxfId="1" priority="8" operator="equal">
      <formula>"Gerencia Produccion"</formula>
    </cfRule>
    <cfRule type="cellIs" dxfId="0" priority="9" operator="equal">
      <formula>"Gerencia Ventas"</formula>
    </cfRule>
  </conditionalFormatting>
  <printOptions horizontalCentered="1"/>
  <pageMargins left="0.23622047244094491" right="0.23622047244094491" top="0.19685039370078741" bottom="0.19685039370078741" header="0.31496062992125984" footer="0.31496062992125984"/>
  <pageSetup paperSize="9" scale="78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Grilla Total</vt:lpstr>
      <vt:lpstr>'Grilla Total'!Títulos_a_imprimir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Tobias</cp:lastModifiedBy>
  <cp:lastPrinted>2024-04-04T20:29:07Z</cp:lastPrinted>
  <dcterms:created xsi:type="dcterms:W3CDTF">2019-10-28T13:48:01Z</dcterms:created>
  <dcterms:modified xsi:type="dcterms:W3CDTF">2026-09-02T22:41:10Z</dcterms:modified>
</cp:coreProperties>
</file>